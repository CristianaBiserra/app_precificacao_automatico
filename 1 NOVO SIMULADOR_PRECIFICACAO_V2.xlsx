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istiana.almeida\Desktop\Precificação\"/>
    </mc:Choice>
  </mc:AlternateContent>
  <xr:revisionPtr revIDLastSave="0" documentId="13_ncr:1_{8AE39F28-EF48-454E-9276-0326842D3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" sheetId="1" r:id="rId1"/>
    <sheet name="Base Dados NCM" sheetId="2" r:id="rId2"/>
    <sheet name="Base ST RN" sheetId="3" r:id="rId3"/>
  </sheets>
  <definedNames>
    <definedName name="_xlnm._FilterDatabase" localSheetId="1" hidden="1">'Base Dados NCM'!$A$1:$I$57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N35" i="1" l="1"/>
  <c r="F3" i="1" l="1"/>
  <c r="N13" i="1" l="1"/>
  <c r="I3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F4" i="1"/>
  <c r="F5" i="1"/>
  <c r="L3" i="1" l="1"/>
  <c r="L54" i="1"/>
  <c r="L55" i="1"/>
  <c r="L56" i="1"/>
  <c r="L57" i="1"/>
  <c r="I54" i="1"/>
  <c r="I55" i="1"/>
  <c r="I56" i="1"/>
  <c r="I57" i="1"/>
  <c r="H54" i="1"/>
  <c r="H55" i="1"/>
  <c r="H56" i="1"/>
  <c r="H57" i="1"/>
  <c r="F54" i="1"/>
  <c r="F55" i="1"/>
  <c r="F56" i="1"/>
  <c r="F57" i="1"/>
  <c r="F51" i="1"/>
  <c r="H51" i="1"/>
  <c r="I51" i="1"/>
  <c r="L51" i="1"/>
  <c r="U27" i="1"/>
  <c r="T27" i="1"/>
  <c r="S27" i="1"/>
  <c r="R27" i="1"/>
  <c r="Q27" i="1"/>
  <c r="N27" i="1"/>
  <c r="L27" i="1"/>
  <c r="I27" i="1"/>
  <c r="H27" i="1"/>
  <c r="F27" i="1"/>
  <c r="U26" i="1"/>
  <c r="T26" i="1"/>
  <c r="S26" i="1"/>
  <c r="R26" i="1"/>
  <c r="Q26" i="1"/>
  <c r="N26" i="1"/>
  <c r="L26" i="1"/>
  <c r="I26" i="1"/>
  <c r="H26" i="1"/>
  <c r="F26" i="1"/>
  <c r="U25" i="1"/>
  <c r="T25" i="1"/>
  <c r="S25" i="1"/>
  <c r="R25" i="1"/>
  <c r="Q25" i="1"/>
  <c r="N25" i="1"/>
  <c r="L25" i="1"/>
  <c r="I25" i="1"/>
  <c r="H25" i="1"/>
  <c r="F25" i="1"/>
  <c r="U24" i="1"/>
  <c r="T24" i="1"/>
  <c r="S24" i="1"/>
  <c r="R24" i="1"/>
  <c r="Q24" i="1"/>
  <c r="N24" i="1"/>
  <c r="L24" i="1"/>
  <c r="I24" i="1"/>
  <c r="H24" i="1"/>
  <c r="F24" i="1"/>
  <c r="U23" i="1"/>
  <c r="T23" i="1"/>
  <c r="S23" i="1"/>
  <c r="R23" i="1"/>
  <c r="Q23" i="1"/>
  <c r="N23" i="1"/>
  <c r="L23" i="1"/>
  <c r="I23" i="1"/>
  <c r="H23" i="1"/>
  <c r="F23" i="1"/>
  <c r="U22" i="1"/>
  <c r="T22" i="1"/>
  <c r="S22" i="1"/>
  <c r="R22" i="1"/>
  <c r="Q22" i="1"/>
  <c r="N22" i="1"/>
  <c r="L22" i="1"/>
  <c r="I22" i="1"/>
  <c r="H22" i="1"/>
  <c r="F22" i="1"/>
  <c r="J26" i="1" l="1"/>
  <c r="O26" i="1" s="1"/>
  <c r="P26" i="1" s="1"/>
  <c r="J56" i="1"/>
  <c r="P56" i="1" s="1"/>
  <c r="J54" i="1"/>
  <c r="P54" i="1" s="1"/>
  <c r="J55" i="1"/>
  <c r="P55" i="1" s="1"/>
  <c r="J25" i="1"/>
  <c r="O25" i="1" s="1"/>
  <c r="P25" i="1" s="1"/>
  <c r="J57" i="1"/>
  <c r="P57" i="1" s="1"/>
  <c r="J22" i="1"/>
  <c r="O22" i="1" s="1"/>
  <c r="P22" i="1" s="1"/>
  <c r="J24" i="1"/>
  <c r="O24" i="1" s="1"/>
  <c r="P24" i="1" s="1"/>
  <c r="J27" i="1"/>
  <c r="O27" i="1" s="1"/>
  <c r="P27" i="1" s="1"/>
  <c r="J23" i="1"/>
  <c r="O23" i="1" s="1"/>
  <c r="P23" i="1" s="1"/>
  <c r="J51" i="1"/>
  <c r="P51" i="1" s="1"/>
  <c r="U21" i="1"/>
  <c r="T21" i="1"/>
  <c r="S21" i="1"/>
  <c r="R21" i="1"/>
  <c r="Q21" i="1"/>
  <c r="N21" i="1"/>
  <c r="L21" i="1"/>
  <c r="I21" i="1"/>
  <c r="H21" i="1"/>
  <c r="F21" i="1"/>
  <c r="U20" i="1"/>
  <c r="T20" i="1"/>
  <c r="S20" i="1"/>
  <c r="R20" i="1"/>
  <c r="Q20" i="1"/>
  <c r="N20" i="1"/>
  <c r="L20" i="1"/>
  <c r="I20" i="1"/>
  <c r="H20" i="1"/>
  <c r="F20" i="1"/>
  <c r="N19" i="1"/>
  <c r="L19" i="1"/>
  <c r="I19" i="1"/>
  <c r="H19" i="1"/>
  <c r="F19" i="1"/>
  <c r="N18" i="1"/>
  <c r="L18" i="1"/>
  <c r="I18" i="1"/>
  <c r="H18" i="1"/>
  <c r="F18" i="1"/>
  <c r="N17" i="1"/>
  <c r="L17" i="1"/>
  <c r="I17" i="1"/>
  <c r="H17" i="1"/>
  <c r="F17" i="1"/>
  <c r="N16" i="1"/>
  <c r="L16" i="1"/>
  <c r="I16" i="1"/>
  <c r="H16" i="1"/>
  <c r="F16" i="1"/>
  <c r="Q55" i="1" l="1"/>
  <c r="R55" i="1" s="1"/>
  <c r="S55" i="1"/>
  <c r="Q56" i="1"/>
  <c r="R56" i="1" s="1"/>
  <c r="S56" i="1"/>
  <c r="Q57" i="1"/>
  <c r="R57" i="1" s="1"/>
  <c r="S57" i="1"/>
  <c r="Q54" i="1"/>
  <c r="R54" i="1" s="1"/>
  <c r="S54" i="1"/>
  <c r="S51" i="1"/>
  <c r="Q51" i="1"/>
  <c r="R51" i="1" s="1"/>
  <c r="J21" i="1"/>
  <c r="O21" i="1" s="1"/>
  <c r="P21" i="1" s="1"/>
  <c r="J20" i="1"/>
  <c r="O20" i="1" s="1"/>
  <c r="P20" i="1" s="1"/>
  <c r="J19" i="1"/>
  <c r="O19" i="1" s="1"/>
  <c r="J18" i="1"/>
  <c r="O18" i="1" s="1"/>
  <c r="J16" i="1"/>
  <c r="O16" i="1" s="1"/>
  <c r="J17" i="1"/>
  <c r="O17" i="1" s="1"/>
  <c r="P19" i="1" l="1"/>
  <c r="S19" i="1"/>
  <c r="R19" i="1"/>
  <c r="P18" i="1"/>
  <c r="R18" i="1"/>
  <c r="S18" i="1"/>
  <c r="P17" i="1"/>
  <c r="S17" i="1"/>
  <c r="R17" i="1"/>
  <c r="P16" i="1"/>
  <c r="S16" i="1"/>
  <c r="R16" i="1"/>
  <c r="Q19" i="1" l="1"/>
  <c r="T19" i="1" s="1"/>
  <c r="U19" i="1"/>
  <c r="Q18" i="1"/>
  <c r="T18" i="1" s="1"/>
  <c r="U18" i="1"/>
  <c r="Q17" i="1"/>
  <c r="T17" i="1" s="1"/>
  <c r="U17" i="1"/>
  <c r="U16" i="1"/>
  <c r="Q16" i="1"/>
  <c r="T16" i="1" s="1"/>
  <c r="I4" i="1"/>
  <c r="V33" i="1" l="1"/>
  <c r="N14" i="1"/>
  <c r="N15" i="1"/>
  <c r="F9" i="1" l="1"/>
  <c r="H9" i="1"/>
  <c r="I9" i="1"/>
  <c r="L9" i="1"/>
  <c r="F10" i="1"/>
  <c r="H10" i="1"/>
  <c r="I10" i="1"/>
  <c r="L10" i="1"/>
  <c r="F11" i="1"/>
  <c r="H11" i="1"/>
  <c r="I11" i="1"/>
  <c r="L11" i="1"/>
  <c r="F12" i="1"/>
  <c r="H12" i="1"/>
  <c r="I12" i="1"/>
  <c r="L12" i="1"/>
  <c r="F13" i="1"/>
  <c r="H13" i="1"/>
  <c r="I13" i="1"/>
  <c r="L13" i="1"/>
  <c r="F14" i="1"/>
  <c r="H14" i="1"/>
  <c r="I14" i="1"/>
  <c r="L14" i="1"/>
  <c r="F15" i="1"/>
  <c r="H15" i="1"/>
  <c r="I15" i="1"/>
  <c r="L15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F38" i="1"/>
  <c r="H38" i="1"/>
  <c r="I38" i="1"/>
  <c r="L38" i="1"/>
  <c r="F39" i="1"/>
  <c r="H39" i="1"/>
  <c r="I39" i="1"/>
  <c r="L39" i="1"/>
  <c r="F40" i="1"/>
  <c r="H40" i="1"/>
  <c r="I40" i="1"/>
  <c r="L40" i="1"/>
  <c r="F41" i="1"/>
  <c r="H41" i="1"/>
  <c r="I41" i="1"/>
  <c r="L41" i="1"/>
  <c r="F42" i="1"/>
  <c r="H42" i="1"/>
  <c r="I42" i="1"/>
  <c r="L42" i="1"/>
  <c r="F43" i="1"/>
  <c r="H43" i="1"/>
  <c r="I43" i="1"/>
  <c r="L43" i="1"/>
  <c r="F44" i="1"/>
  <c r="H44" i="1"/>
  <c r="I44" i="1"/>
  <c r="L44" i="1"/>
  <c r="F45" i="1"/>
  <c r="H45" i="1"/>
  <c r="I45" i="1"/>
  <c r="L45" i="1"/>
  <c r="F46" i="1"/>
  <c r="H46" i="1"/>
  <c r="I46" i="1"/>
  <c r="L46" i="1"/>
  <c r="F47" i="1"/>
  <c r="H47" i="1"/>
  <c r="I47" i="1"/>
  <c r="L47" i="1"/>
  <c r="F48" i="1"/>
  <c r="H48" i="1"/>
  <c r="I48" i="1"/>
  <c r="L48" i="1"/>
  <c r="F49" i="1"/>
  <c r="H49" i="1"/>
  <c r="I49" i="1"/>
  <c r="L49" i="1"/>
  <c r="F50" i="1"/>
  <c r="H50" i="1"/>
  <c r="I50" i="1"/>
  <c r="L50" i="1"/>
  <c r="F52" i="1"/>
  <c r="H52" i="1"/>
  <c r="I52" i="1"/>
  <c r="L52" i="1"/>
  <c r="F53" i="1"/>
  <c r="H53" i="1"/>
  <c r="I53" i="1"/>
  <c r="L53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L37" i="1"/>
  <c r="I37" i="1"/>
  <c r="H37" i="1"/>
  <c r="F37" i="1"/>
  <c r="L36" i="1"/>
  <c r="I36" i="1"/>
  <c r="H36" i="1"/>
  <c r="N36" i="1" s="1"/>
  <c r="F36" i="1"/>
  <c r="L35" i="1"/>
  <c r="I35" i="1"/>
  <c r="H35" i="1"/>
  <c r="F35" i="1"/>
  <c r="L34" i="1"/>
  <c r="I34" i="1"/>
  <c r="H34" i="1"/>
  <c r="N34" i="1" s="1"/>
  <c r="F34" i="1"/>
  <c r="L8" i="1"/>
  <c r="I8" i="1"/>
  <c r="H8" i="1"/>
  <c r="F8" i="1"/>
  <c r="L7" i="1"/>
  <c r="I7" i="1"/>
  <c r="H7" i="1"/>
  <c r="F7" i="1"/>
  <c r="L6" i="1"/>
  <c r="I6" i="1"/>
  <c r="H6" i="1"/>
  <c r="F6" i="1"/>
  <c r="L5" i="1"/>
  <c r="I5" i="1"/>
  <c r="H5" i="1"/>
  <c r="H4" i="1"/>
  <c r="H3" i="1"/>
  <c r="J3" i="1" l="1"/>
  <c r="J4" i="1"/>
  <c r="J53" i="1"/>
  <c r="P53" i="1" s="1"/>
  <c r="J41" i="1"/>
  <c r="P41" i="1" s="1"/>
  <c r="O41" i="1" s="1"/>
  <c r="J10" i="1"/>
  <c r="O10" i="1" s="1"/>
  <c r="J14" i="1"/>
  <c r="O14" i="1" s="1"/>
  <c r="J13" i="1"/>
  <c r="O13" i="1" s="1"/>
  <c r="J39" i="1"/>
  <c r="P39" i="1" s="1"/>
  <c r="O39" i="1" s="1"/>
  <c r="J15" i="1"/>
  <c r="O15" i="1" s="1"/>
  <c r="J11" i="1"/>
  <c r="O11" i="1" s="1"/>
  <c r="J9" i="1"/>
  <c r="O9" i="1" s="1"/>
  <c r="J12" i="1"/>
  <c r="O12" i="1" s="1"/>
  <c r="J50" i="1"/>
  <c r="P50" i="1" s="1"/>
  <c r="J7" i="1"/>
  <c r="O7" i="1" s="1"/>
  <c r="J49" i="1"/>
  <c r="P49" i="1" s="1"/>
  <c r="J48" i="1"/>
  <c r="P48" i="1" s="1"/>
  <c r="O48" i="1" s="1"/>
  <c r="J42" i="1"/>
  <c r="P42" i="1" s="1"/>
  <c r="O42" i="1" s="1"/>
  <c r="J47" i="1"/>
  <c r="P47" i="1" s="1"/>
  <c r="O47" i="1" s="1"/>
  <c r="J45" i="1"/>
  <c r="P45" i="1" s="1"/>
  <c r="O45" i="1" s="1"/>
  <c r="J43" i="1"/>
  <c r="P43" i="1" s="1"/>
  <c r="O43" i="1" s="1"/>
  <c r="J52" i="1"/>
  <c r="P52" i="1" s="1"/>
  <c r="J34" i="1"/>
  <c r="J8" i="1"/>
  <c r="O8" i="1" s="1"/>
  <c r="J46" i="1"/>
  <c r="P46" i="1" s="1"/>
  <c r="O46" i="1" s="1"/>
  <c r="J44" i="1"/>
  <c r="P44" i="1" s="1"/>
  <c r="O44" i="1" s="1"/>
  <c r="J40" i="1"/>
  <c r="P40" i="1" s="1"/>
  <c r="O40" i="1" s="1"/>
  <c r="J38" i="1"/>
  <c r="P38" i="1" s="1"/>
  <c r="O38" i="1" s="1"/>
  <c r="J37" i="1"/>
  <c r="P37" i="1" s="1"/>
  <c r="O37" i="1" s="1"/>
  <c r="J36" i="1"/>
  <c r="P36" i="1" s="1"/>
  <c r="O36" i="1" s="1"/>
  <c r="J6" i="1"/>
  <c r="O6" i="1" s="1"/>
  <c r="J35" i="1"/>
  <c r="P35" i="1" s="1"/>
  <c r="O35" i="1" s="1"/>
  <c r="J5" i="1"/>
  <c r="O5" i="1" s="1"/>
  <c r="P34" i="1" l="1"/>
  <c r="O34" i="1" s="1"/>
  <c r="O3" i="1"/>
  <c r="S3" i="1" s="1"/>
  <c r="S53" i="1"/>
  <c r="Q53" i="1"/>
  <c r="R53" i="1" s="1"/>
  <c r="S52" i="1"/>
  <c r="Q52" i="1"/>
  <c r="R52" i="1" s="1"/>
  <c r="P15" i="1"/>
  <c r="R15" i="1"/>
  <c r="S15" i="1"/>
  <c r="P14" i="1"/>
  <c r="R14" i="1"/>
  <c r="S14" i="1"/>
  <c r="P13" i="1"/>
  <c r="R13" i="1"/>
  <c r="S13" i="1"/>
  <c r="P10" i="1"/>
  <c r="S10" i="1"/>
  <c r="R10" i="1"/>
  <c r="P9" i="1"/>
  <c r="R9" i="1"/>
  <c r="S9" i="1"/>
  <c r="P12" i="1"/>
  <c r="R12" i="1"/>
  <c r="S12" i="1"/>
  <c r="P11" i="1"/>
  <c r="S11" i="1"/>
  <c r="R11" i="1"/>
  <c r="P8" i="1"/>
  <c r="R8" i="1"/>
  <c r="S8" i="1"/>
  <c r="P7" i="1"/>
  <c r="R7" i="1"/>
  <c r="S7" i="1"/>
  <c r="P6" i="1"/>
  <c r="S6" i="1"/>
  <c r="R6" i="1"/>
  <c r="S50" i="1"/>
  <c r="Q50" i="1"/>
  <c r="R50" i="1" s="1"/>
  <c r="S49" i="1"/>
  <c r="Q49" i="1"/>
  <c r="R49" i="1" s="1"/>
  <c r="S48" i="1"/>
  <c r="Q48" i="1"/>
  <c r="R48" i="1" s="1"/>
  <c r="S5" i="1"/>
  <c r="R5" i="1"/>
  <c r="S47" i="1"/>
  <c r="Q47" i="1"/>
  <c r="R47" i="1" s="1"/>
  <c r="S46" i="1"/>
  <c r="Q46" i="1"/>
  <c r="R46" i="1" s="1"/>
  <c r="S39" i="1"/>
  <c r="Q39" i="1"/>
  <c r="R39" i="1" s="1"/>
  <c r="S38" i="1"/>
  <c r="Q38" i="1"/>
  <c r="R38" i="1" s="1"/>
  <c r="S41" i="1"/>
  <c r="Q41" i="1"/>
  <c r="R41" i="1" s="1"/>
  <c r="S40" i="1"/>
  <c r="Q40" i="1"/>
  <c r="R40" i="1" s="1"/>
  <c r="S42" i="1"/>
  <c r="Q42" i="1"/>
  <c r="R42" i="1" s="1"/>
  <c r="S45" i="1"/>
  <c r="Q45" i="1"/>
  <c r="R45" i="1" s="1"/>
  <c r="S44" i="1"/>
  <c r="Q44" i="1"/>
  <c r="R44" i="1" s="1"/>
  <c r="S43" i="1"/>
  <c r="Q43" i="1"/>
  <c r="R43" i="1" s="1"/>
  <c r="S37" i="1"/>
  <c r="Q37" i="1"/>
  <c r="R37" i="1" s="1"/>
  <c r="S36" i="1"/>
  <c r="Q36" i="1"/>
  <c r="R36" i="1" s="1"/>
  <c r="S35" i="1"/>
  <c r="Q35" i="1"/>
  <c r="R35" i="1" s="1"/>
  <c r="P5" i="1"/>
  <c r="L4" i="1"/>
  <c r="O4" i="1" s="1"/>
  <c r="R3" i="1" l="1"/>
  <c r="P3" i="1"/>
  <c r="Q3" i="1" s="1"/>
  <c r="U15" i="1"/>
  <c r="Q15" i="1"/>
  <c r="T15" i="1" s="1"/>
  <c r="U14" i="1"/>
  <c r="Q14" i="1"/>
  <c r="T14" i="1" s="1"/>
  <c r="U13" i="1"/>
  <c r="Q13" i="1"/>
  <c r="T13" i="1" s="1"/>
  <c r="Q9" i="1"/>
  <c r="T9" i="1" s="1"/>
  <c r="U9" i="1"/>
  <c r="U10" i="1"/>
  <c r="Q10" i="1"/>
  <c r="T10" i="1" s="1"/>
  <c r="Q12" i="1"/>
  <c r="T12" i="1" s="1"/>
  <c r="U12" i="1"/>
  <c r="U11" i="1"/>
  <c r="Q11" i="1"/>
  <c r="T11" i="1" s="1"/>
  <c r="U8" i="1"/>
  <c r="Q8" i="1"/>
  <c r="T8" i="1" s="1"/>
  <c r="Q7" i="1"/>
  <c r="T7" i="1" s="1"/>
  <c r="U7" i="1"/>
  <c r="Q6" i="1"/>
  <c r="T6" i="1" s="1"/>
  <c r="U6" i="1"/>
  <c r="U5" i="1"/>
  <c r="Q5" i="1"/>
  <c r="T5" i="1" s="1"/>
  <c r="Q34" i="1"/>
  <c r="R34" i="1" s="1"/>
  <c r="S34" i="1"/>
  <c r="T3" i="1" l="1"/>
  <c r="U3" i="1"/>
  <c r="P4" i="1"/>
  <c r="Q4" i="1" s="1"/>
  <c r="S4" i="1"/>
  <c r="R4" i="1"/>
  <c r="T4" i="1" l="1"/>
  <c r="U4" i="1"/>
</calcChain>
</file>

<file path=xl/sharedStrings.xml><?xml version="1.0" encoding="utf-8"?>
<sst xmlns="http://schemas.openxmlformats.org/spreadsheetml/2006/main" count="159" uniqueCount="56">
  <si>
    <t>Cod</t>
  </si>
  <si>
    <t>NCM</t>
  </si>
  <si>
    <t>Preço R$/Un</t>
  </si>
  <si>
    <t>ICMS
%</t>
  </si>
  <si>
    <t>Vlr ICMS</t>
  </si>
  <si>
    <t>IPI
%</t>
  </si>
  <si>
    <t>Vlr IPI</t>
  </si>
  <si>
    <t>BC PIS/COFINS</t>
  </si>
  <si>
    <t>PIS/CONFINS</t>
  </si>
  <si>
    <t>ST</t>
  </si>
  <si>
    <t>Vlr ST</t>
  </si>
  <si>
    <t>Custo filail 4</t>
  </si>
  <si>
    <t>Custo Filial 2</t>
  </si>
  <si>
    <t>Custo Filial 3 e 5</t>
  </si>
  <si>
    <t>PSD FILIAL 4 (CLIENTE DENTRO DE RN)</t>
  </si>
  <si>
    <t>COMPRANDO DIRETO PARA PE</t>
  </si>
  <si>
    <t>FATOR CUSTO FILIAL 3 E 5</t>
  </si>
  <si>
    <t xml:space="preserve">ST </t>
  </si>
  <si>
    <t>FATOR PSD FILIAL 3 E 5 MARGEM 25%</t>
  </si>
  <si>
    <t>SIM</t>
  </si>
  <si>
    <t>FATOR PSD FILIAL 4 (CLIENTE DENTRO DE RN)</t>
  </si>
  <si>
    <t>FATOR PSD FILIAL 4 (CLIENTE FORA DE RN)</t>
  </si>
  <si>
    <t>PSD FILIAL 4 (CLIENTE FORA DE RN)</t>
  </si>
  <si>
    <t>ICMS 8,44%</t>
  </si>
  <si>
    <t>FATOR PSD FILIAL 2 FORA MARGEM 25%</t>
  </si>
  <si>
    <t>NORMAL</t>
  </si>
  <si>
    <t>Frete FOB (10% X Vlr Unit)</t>
  </si>
  <si>
    <t>Frete CIF ou FOB ?</t>
  </si>
  <si>
    <t>CIF</t>
  </si>
  <si>
    <t>PSD FILIAL 2 (CLIENTE FORA DE PE)</t>
  </si>
  <si>
    <t>PSD FILIAL 3 E 5 (CLIENTE DENTRO DE PE)</t>
  </si>
  <si>
    <t>PREÇO DE VENDA COM MARGEM DE 25%</t>
  </si>
  <si>
    <t>Cod.</t>
  </si>
  <si>
    <t>Fator</t>
  </si>
  <si>
    <t>Simulador 201</t>
  </si>
  <si>
    <t>NÃO</t>
  </si>
  <si>
    <t>Custo Filial 4</t>
  </si>
  <si>
    <t>ICMS ORIGEM</t>
  </si>
  <si>
    <t>MVA</t>
  </si>
  <si>
    <t>COMPRANDO PARA NATAL E TRANSFERINDO PARA PE</t>
  </si>
  <si>
    <t>Descrição</t>
  </si>
  <si>
    <t>FOB</t>
  </si>
  <si>
    <t>DETECTOR DE CALOR ENDEREÇÁVEL WIRELESS
DCEW-SKYFIRE</t>
  </si>
  <si>
    <t>DETECTOR DE FUMAÇA ENDEREÇÁVEL WIRELESS DFEW</t>
  </si>
  <si>
    <t xml:space="preserve">MODULO DE ENTRADA / SAIDA WIRELESS MEW-SKYFIRE </t>
  </si>
  <si>
    <t>SIRENE AUDIOVISUAL ENDEREÇÁVEL WIRELESS
SAVEW-SKYFIRE</t>
  </si>
  <si>
    <t>DISP. DE PROTEÇÃO CONTRA SURTO (DPS) PARA
ALIMENTAÇÃO PRINCIPAL – 220 VCA DPS-22</t>
  </si>
  <si>
    <t>ROTEADOR WIRELESS ROTW-SKYFIRE</t>
  </si>
  <si>
    <t>ACIONADOR MANUAL ENDEREÇÁVEL WIRELESS
AMEW-SKYFIRE</t>
  </si>
  <si>
    <t>MÓDULO ISOLADOR DE CURTO CIRCUITO CEW/X
ICC-SKYFIRE</t>
  </si>
  <si>
    <t>CENTRAL HÍBRIDA ANALÓGICA COM PLACA DE
EXPANSÃO WIRELESS CEW-SKYFIRE-W</t>
  </si>
  <si>
    <t>CENTRAL HÍBRIDA ANALÓGICA 750 PONTOS COM PLACA DE EXPANSÃO WIRELESS CEWX-SKYFIRE-W</t>
  </si>
  <si>
    <t>ELETRO</t>
  </si>
  <si>
    <t>VISION S.4.35 - PAR 8 OHMS - CX A</t>
  </si>
  <si>
    <t>32599 - 32600</t>
  </si>
  <si>
    <t xml:space="preserve">VISION 50.1.12CX BT - AMPLIFICADOR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</si>
</sst>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0"/>
    <numFmt numFmtId="165" formatCode="_(&quot;R$&quot;* #,##0.00_);_(&quot;R$&quot;* \(#,##0.00\);_(&quot;R$&quot;* &quot;-&quot;??_);_(@_)"/>
    <numFmt numFmtId="166" formatCode="0.0%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 MT"/>
      <family val="2"/>
    </font>
    <font>
      <sz val="10"/>
      <name val="Arial MT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00"/>
      <name val="Arial MT"/>
    </font>
    <font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87878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165" fontId="1" fillId="0" borderId="0"/>
  </cellStyleXfs>
  <cellXfs count="66">
    <xf numFmtId="0" fontId="0" fillId="0" borderId="0" xfId="0"/>
    <xf numFmtId="0" fontId="3" fillId="0" borderId="0" xfId="0" applyFont="1"/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44" fontId="0" fillId="0" borderId="0" xfId="0" applyNumberFormat="1"/>
    <xf numFmtId="10" fontId="4" fillId="0" borderId="1" xfId="2" applyNumberFormat="1" applyFont="1" applyBorder="1" applyAlignment="1">
      <alignment horizontal="center" vertical="top" shrinkToFit="1"/>
    </xf>
    <xf numFmtId="0" fontId="0" fillId="0" borderId="0" xfId="0" applyAlignment="1">
      <alignment horizontal="center"/>
    </xf>
    <xf numFmtId="44" fontId="4" fillId="0" borderId="1" xfId="1" applyFont="1" applyBorder="1" applyAlignment="1">
      <alignment vertical="top" shrinkToFit="1"/>
    </xf>
    <xf numFmtId="0" fontId="0" fillId="0" borderId="0" xfId="0" applyAlignment="1">
      <alignment vertical="center"/>
    </xf>
    <xf numFmtId="1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/>
    </xf>
    <xf numFmtId="10" fontId="4" fillId="0" borderId="0" xfId="2" applyNumberFormat="1" applyFont="1" applyAlignment="1">
      <alignment horizontal="center" vertical="top" shrinkToFit="1"/>
    </xf>
    <xf numFmtId="0" fontId="2" fillId="6" borderId="1" xfId="0" applyFont="1" applyFill="1" applyBorder="1" applyAlignment="1">
      <alignment horizontal="center" vertical="center" wrapText="1"/>
    </xf>
    <xf numFmtId="44" fontId="4" fillId="0" borderId="0" xfId="1" applyFont="1" applyAlignment="1">
      <alignment vertical="top" shrinkToFit="1"/>
    </xf>
    <xf numFmtId="44" fontId="4" fillId="0" borderId="1" xfId="1" applyFont="1" applyBorder="1" applyAlignment="1">
      <alignment horizontal="center" vertical="top" shrinkToFit="1"/>
    </xf>
    <xf numFmtId="44" fontId="4" fillId="0" borderId="0" xfId="1" applyFont="1" applyAlignment="1">
      <alignment horizontal="center" vertical="top" shrinkToFit="1"/>
    </xf>
    <xf numFmtId="9" fontId="4" fillId="0" borderId="1" xfId="2" applyFont="1" applyBorder="1" applyAlignment="1">
      <alignment horizontal="center" vertical="top" shrinkToFit="1"/>
    </xf>
    <xf numFmtId="9" fontId="4" fillId="0" borderId="0" xfId="2" applyFont="1" applyAlignment="1">
      <alignment horizontal="center" vertical="top" shrinkToFit="1"/>
    </xf>
    <xf numFmtId="9" fontId="4" fillId="0" borderId="1" xfId="2" applyFont="1" applyBorder="1" applyAlignment="1">
      <alignment horizontal="center" vertical="center" shrinkToFit="1"/>
    </xf>
    <xf numFmtId="44" fontId="4" fillId="0" borderId="1" xfId="1" applyFont="1" applyBorder="1" applyAlignment="1">
      <alignment horizontal="center" vertical="center" shrinkToFit="1"/>
    </xf>
    <xf numFmtId="10" fontId="4" fillId="0" borderId="1" xfId="2" applyNumberFormat="1" applyFont="1" applyBorder="1" applyAlignment="1">
      <alignment horizontal="center" vertical="center" shrinkToFit="1"/>
    </xf>
    <xf numFmtId="0" fontId="7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44" fontId="4" fillId="0" borderId="4" xfId="1" applyFont="1" applyBorder="1" applyAlignment="1">
      <alignment horizontal="center" vertical="center" shrinkToFit="1"/>
    </xf>
    <xf numFmtId="44" fontId="4" fillId="0" borderId="0" xfId="1" applyFont="1" applyAlignment="1">
      <alignment horizontal="center" vertical="center" shrinkToFit="1"/>
    </xf>
    <xf numFmtId="44" fontId="4" fillId="0" borderId="3" xfId="1" applyFont="1" applyBorder="1" applyAlignment="1">
      <alignment horizontal="center" vertical="center" shrinkToFit="1"/>
    </xf>
    <xf numFmtId="166" fontId="4" fillId="0" borderId="1" xfId="2" applyNumberFormat="1" applyFont="1" applyBorder="1" applyAlignment="1">
      <alignment horizontal="center" vertical="center" shrinkToFit="1"/>
    </xf>
    <xf numFmtId="166" fontId="1" fillId="0" borderId="0" xfId="2" applyNumberFormat="1" applyAlignment="1">
      <alignment horizontal="center"/>
    </xf>
    <xf numFmtId="49" fontId="4" fillId="0" borderId="1" xfId="1" applyNumberFormat="1" applyFont="1" applyBorder="1" applyAlignment="1">
      <alignment horizontal="center" vertical="top" shrinkToFit="1"/>
    </xf>
    <xf numFmtId="0" fontId="0" fillId="5" borderId="3" xfId="0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2" fontId="4" fillId="0" borderId="3" xfId="1" applyNumberFormat="1" applyFont="1" applyBorder="1" applyAlignment="1">
      <alignment horizontal="center" vertical="center" shrinkToFit="1"/>
    </xf>
    <xf numFmtId="44" fontId="11" fillId="0" borderId="3" xfId="1" applyFont="1" applyBorder="1" applyAlignment="1">
      <alignment horizontal="center" vertical="center" shrinkToFit="1"/>
    </xf>
    <xf numFmtId="44" fontId="4" fillId="8" borderId="1" xfId="1" applyFont="1" applyFill="1" applyBorder="1" applyAlignment="1">
      <alignment horizontal="center" vertical="top" shrinkToFit="1"/>
    </xf>
    <xf numFmtId="1" fontId="4" fillId="8" borderId="1" xfId="0" applyNumberFormat="1" applyFont="1" applyFill="1" applyBorder="1" applyAlignment="1">
      <alignment horizontal="center" vertical="top" shrinkToFit="1"/>
    </xf>
    <xf numFmtId="0" fontId="5" fillId="8" borderId="1" xfId="0" applyFont="1" applyFill="1" applyBorder="1" applyAlignment="1">
      <alignment horizontal="left" vertical="top" wrapText="1"/>
    </xf>
    <xf numFmtId="44" fontId="4" fillId="8" borderId="1" xfId="1" applyFont="1" applyFill="1" applyBorder="1" applyAlignment="1">
      <alignment vertical="top" shrinkToFit="1"/>
    </xf>
    <xf numFmtId="9" fontId="4" fillId="8" borderId="1" xfId="2" applyFont="1" applyFill="1" applyBorder="1" applyAlignment="1">
      <alignment horizontal="center" vertical="top" shrinkToFit="1"/>
    </xf>
    <xf numFmtId="10" fontId="4" fillId="8" borderId="1" xfId="2" applyNumberFormat="1" applyFont="1" applyFill="1" applyBorder="1" applyAlignment="1">
      <alignment horizontal="center" vertical="top" shrinkToFit="1"/>
    </xf>
    <xf numFmtId="0" fontId="0" fillId="8" borderId="0" xfId="0" applyFill="1"/>
    <xf numFmtId="0" fontId="2" fillId="9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9" fontId="1" fillId="0" borderId="3" xfId="2" applyBorder="1" applyAlignment="1">
      <alignment horizontal="center"/>
    </xf>
    <xf numFmtId="9" fontId="1" fillId="0" borderId="0" xfId="2" applyAlignment="1">
      <alignment horizontal="center"/>
    </xf>
    <xf numFmtId="0" fontId="7" fillId="10" borderId="3" xfId="0" applyFont="1" applyFill="1" applyBorder="1" applyAlignment="1">
      <alignment horizontal="center" vertical="center" wrapText="1"/>
    </xf>
    <xf numFmtId="10" fontId="1" fillId="0" borderId="3" xfId="2" applyNumberFormat="1" applyBorder="1" applyAlignment="1">
      <alignment horizontal="center"/>
    </xf>
    <xf numFmtId="0" fontId="0" fillId="10" borderId="3" xfId="0" applyFill="1" applyBorder="1" applyAlignment="1">
      <alignment horizontal="center"/>
    </xf>
    <xf numFmtId="49" fontId="4" fillId="0" borderId="0" xfId="1" applyNumberFormat="1" applyFont="1" applyAlignment="1">
      <alignment horizontal="center" vertical="top" shrinkToFit="1"/>
    </xf>
    <xf numFmtId="0" fontId="0" fillId="0" borderId="0" xfId="0" applyAlignment="1">
      <alignment wrapText="1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</cellXfs>
  <cellStyles count="4">
    <cellStyle name="Moeda" xfId="1" builtinId="4"/>
    <cellStyle name="Moeda 2" xfId="3" xr:uid="{00000000-0005-0000-0000-000001000000}"/>
    <cellStyle name="Normal" xfId="0" builtinId="0"/>
    <cellStyle name="Porcentagem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4"/>
  <sheetViews>
    <sheetView showGridLines="0" tabSelected="1" zoomScale="90" zoomScaleNormal="90" workbookViewId="0">
      <selection activeCell="B5" sqref="B5"/>
    </sheetView>
  </sheetViews>
  <sheetFormatPr defaultRowHeight="14.4"/>
  <cols>
    <col min="1" max="1" width="14.88671875" customWidth="1"/>
    <col min="2" max="2" width="38" customWidth="1"/>
    <col min="3" max="3" width="9.21875" customWidth="1"/>
    <col min="4" max="4" width="12.21875" customWidth="1"/>
    <col min="5" max="5" width="7.33203125" style="6" customWidth="1"/>
    <col min="6" max="6" width="11.109375" style="6" customWidth="1"/>
    <col min="7" max="7" width="7.21875" style="6" customWidth="1"/>
    <col min="8" max="8" width="11.5546875" style="6" customWidth="1"/>
    <col min="9" max="9" width="11" style="6" customWidth="1"/>
    <col min="10" max="10" width="11.88671875" style="6" customWidth="1"/>
    <col min="11" max="11" width="4.5546875" style="6" customWidth="1"/>
    <col min="12" max="12" width="7" style="6" customWidth="1"/>
    <col min="13" max="13" width="8.44140625" style="6" customWidth="1"/>
    <col min="14" max="14" width="10.44140625" style="6" customWidth="1"/>
    <col min="15" max="15" width="11.5546875" style="6" customWidth="1"/>
    <col min="16" max="16" width="12.21875" style="6" customWidth="1"/>
    <col min="17" max="17" width="14.44140625" style="6" customWidth="1"/>
    <col min="18" max="18" width="18.21875" style="6" customWidth="1"/>
    <col min="19" max="19" width="19.6640625" style="6" customWidth="1"/>
    <col min="20" max="20" width="17.44140625" style="6" customWidth="1"/>
    <col min="21" max="21" width="16.88671875" style="6" hidden="1" customWidth="1"/>
    <col min="22" max="22" width="11.88671875" bestFit="1" customWidth="1"/>
  </cols>
  <sheetData>
    <row r="1" spans="1:22" ht="27" customHeight="1">
      <c r="A1" s="61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  <c r="R1" s="64" t="s">
        <v>31</v>
      </c>
      <c r="S1" s="64"/>
      <c r="T1" s="64"/>
      <c r="U1" s="64"/>
    </row>
    <row r="2" spans="1:22" s="1" customFormat="1" ht="45.6" customHeight="1">
      <c r="A2" s="33" t="s">
        <v>0</v>
      </c>
      <c r="B2" s="34" t="s">
        <v>40</v>
      </c>
      <c r="C2" s="35" t="s">
        <v>1</v>
      </c>
      <c r="D2" s="36" t="s">
        <v>2</v>
      </c>
      <c r="E2" s="37" t="s">
        <v>3</v>
      </c>
      <c r="F2" s="38" t="s">
        <v>4</v>
      </c>
      <c r="G2" s="39" t="s">
        <v>5</v>
      </c>
      <c r="H2" s="40" t="s">
        <v>6</v>
      </c>
      <c r="I2" s="38" t="s">
        <v>7</v>
      </c>
      <c r="J2" s="40" t="s">
        <v>8</v>
      </c>
      <c r="K2" s="37" t="s">
        <v>9</v>
      </c>
      <c r="L2" s="40" t="s">
        <v>10</v>
      </c>
      <c r="M2" s="41" t="s">
        <v>27</v>
      </c>
      <c r="N2" s="40" t="s">
        <v>26</v>
      </c>
      <c r="O2" s="42" t="s">
        <v>11</v>
      </c>
      <c r="P2" s="34" t="s">
        <v>12</v>
      </c>
      <c r="Q2" s="42" t="s">
        <v>13</v>
      </c>
      <c r="R2" s="12" t="s">
        <v>14</v>
      </c>
      <c r="S2" s="12" t="s">
        <v>22</v>
      </c>
      <c r="T2" s="12" t="s">
        <v>30</v>
      </c>
      <c r="U2" s="12" t="s">
        <v>29</v>
      </c>
    </row>
    <row r="3" spans="1:22" ht="26.4">
      <c r="A3" s="2"/>
      <c r="B3" s="3" t="s">
        <v>42</v>
      </c>
      <c r="C3" s="2">
        <v>85311010</v>
      </c>
      <c r="D3" s="7">
        <v>520.9</v>
      </c>
      <c r="E3" s="16">
        <v>0.04</v>
      </c>
      <c r="F3" s="14">
        <f>D3*E3</f>
        <v>20.835999999999999</v>
      </c>
      <c r="G3" s="5">
        <v>9.7500000000000003E-2</v>
      </c>
      <c r="H3" s="14">
        <f>D3*G3</f>
        <v>50.787750000000003</v>
      </c>
      <c r="I3" s="14">
        <f>D3*(1-E3)</f>
        <v>500.06399999999996</v>
      </c>
      <c r="J3" s="14">
        <f>(I3+H3)*9.25%</f>
        <v>50.953786874999992</v>
      </c>
      <c r="K3" s="5">
        <v>0</v>
      </c>
      <c r="L3" s="14">
        <f>D3*K3</f>
        <v>0</v>
      </c>
      <c r="M3" s="31" t="s">
        <v>41</v>
      </c>
      <c r="N3" s="14">
        <f>IF(M3="FOB",(D3+H3)*5%,0)</f>
        <v>28.584387499999998</v>
      </c>
      <c r="O3" s="14">
        <f>(D3+H3+L3+N3)-J3</f>
        <v>549.31835062499999</v>
      </c>
      <c r="P3" s="14">
        <f t="shared" ref="P3:P15" si="0">O3*0.88</f>
        <v>483.40014854999998</v>
      </c>
      <c r="Q3" s="14">
        <f>IF($C3="","",IFERROR($P3*VLOOKUP($C3,'Base Dados NCM'!$A:$G,2,FALSE),"NCM não encontrado"))</f>
        <v>678.98384865333003</v>
      </c>
      <c r="R3" s="14">
        <f>IF($C3="","",IFERROR(O3*VLOOKUP($C3,'Base Dados NCM'!$A:$G,6,FALSE),"NCM não encontrado"))</f>
        <v>950.32074658124998</v>
      </c>
      <c r="S3" s="14">
        <f>IF($C3="","",IFERROR(O3*VLOOKUP($C3,'Base Dados NCM'!$A:$G,7,FALSE),"NCM não encontrado"))</f>
        <v>977.78666411250003</v>
      </c>
      <c r="T3" s="14">
        <f>IF($C3="","",IFERROR(Q3*VLOOKUP($C3,'Base Dados NCM'!$A:$G,4,FALSE),"NCM não encontrado"))</f>
        <v>1045.6351269261284</v>
      </c>
      <c r="U3" s="14">
        <f>IF($C3="","",IFERROR(P3*VLOOKUP($C3,'Base Dados NCM'!$A:$G,5,FALSE),"NCM não encontrado"))</f>
        <v>923.29428373049996</v>
      </c>
      <c r="V3" s="4"/>
    </row>
    <row r="4" spans="1:22" ht="26.4">
      <c r="A4" s="2"/>
      <c r="B4" s="3" t="s">
        <v>43</v>
      </c>
      <c r="C4" s="2">
        <v>90271000</v>
      </c>
      <c r="D4" s="7">
        <v>530.79999999999995</v>
      </c>
      <c r="E4" s="16">
        <v>0.04</v>
      </c>
      <c r="F4" s="14">
        <f>D4*E4</f>
        <v>21.231999999999999</v>
      </c>
      <c r="G4" s="5">
        <v>0</v>
      </c>
      <c r="H4" s="14">
        <f>D4*G4</f>
        <v>0</v>
      </c>
      <c r="I4" s="14">
        <f>D4*(1-E4)</f>
        <v>509.56799999999993</v>
      </c>
      <c r="J4" s="14">
        <f>(I4+H4)*9.25%</f>
        <v>47.135039999999989</v>
      </c>
      <c r="K4" s="5">
        <v>0</v>
      </c>
      <c r="L4" s="14">
        <f>D4*K4</f>
        <v>0</v>
      </c>
      <c r="M4" s="31" t="s">
        <v>41</v>
      </c>
      <c r="N4" s="14">
        <f t="shared" ref="N4:N12" si="1">IF(M4="FOB",(D4+H4)*5%,0)</f>
        <v>26.54</v>
      </c>
      <c r="O4" s="14">
        <f>(D4+H4+L4+N4)-J4</f>
        <v>510.20495999999991</v>
      </c>
      <c r="P4" s="14">
        <f t="shared" si="0"/>
        <v>448.9803647999999</v>
      </c>
      <c r="Q4" s="14">
        <f>IF($C4="","",IFERROR($P4*VLOOKUP($C4,'Base Dados NCM'!$A:$G,2,FALSE),"NCM não encontrado"))</f>
        <v>448.9803647999999</v>
      </c>
      <c r="R4" s="14">
        <f>IF($C4="","",IFERROR(O4*VLOOKUP($C4,'Base Dados NCM'!$A:$G,6,FALSE),"NCM não encontrado"))</f>
        <v>887.75663039999984</v>
      </c>
      <c r="S4" s="14">
        <f>IF($C4="","",IFERROR(O4*VLOOKUP($C4,'Base Dados NCM'!$A:$G,7,FALSE),"NCM não encontrado"))</f>
        <v>908.1648287999999</v>
      </c>
      <c r="T4" s="14">
        <f>IF($C4="","",IFERROR($Q4*VLOOKUP($C4,'Base Dados NCM'!$A:$G,4,FALSE),"NCM não encontrado"))</f>
        <v>1014.6956244479996</v>
      </c>
      <c r="U4" s="14">
        <f>IF($C4="","",IFERROR(P4*VLOOKUP($C4,'Base Dados NCM'!$A:$G,5,FALSE),"NCM não encontrado"))</f>
        <v>857.55249676799974</v>
      </c>
      <c r="V4" s="4"/>
    </row>
    <row r="5" spans="1:22" ht="26.4">
      <c r="A5" s="2"/>
      <c r="B5" s="3" t="s">
        <v>44</v>
      </c>
      <c r="C5" s="2">
        <v>85311010</v>
      </c>
      <c r="D5" s="7">
        <v>645.9</v>
      </c>
      <c r="E5" s="16">
        <v>0.04</v>
      </c>
      <c r="F5" s="14">
        <f t="shared" ref="F5:F8" si="2">D5*E5</f>
        <v>25.835999999999999</v>
      </c>
      <c r="G5" s="5">
        <v>0</v>
      </c>
      <c r="H5" s="14">
        <f t="shared" ref="H5:H8" si="3">D5*G5</f>
        <v>0</v>
      </c>
      <c r="I5" s="14">
        <f t="shared" ref="I5:I8" si="4">D5*(1-E5)</f>
        <v>620.06399999999996</v>
      </c>
      <c r="J5" s="14">
        <f t="shared" ref="J5:J8" si="5">(I5+H5)*9.25%</f>
        <v>57.355919999999998</v>
      </c>
      <c r="K5" s="5">
        <v>0</v>
      </c>
      <c r="L5" s="14">
        <f t="shared" ref="L5:L8" si="6">D5*K5</f>
        <v>0</v>
      </c>
      <c r="M5" s="31" t="s">
        <v>41</v>
      </c>
      <c r="N5" s="14">
        <f t="shared" si="1"/>
        <v>32.295000000000002</v>
      </c>
      <c r="O5" s="14">
        <f t="shared" ref="O5:O8" si="7">(D5+H5+L5+N5)-J5</f>
        <v>620.83907999999997</v>
      </c>
      <c r="P5" s="14">
        <f t="shared" si="0"/>
        <v>546.33839039999998</v>
      </c>
      <c r="Q5" s="14">
        <f>IF($C5="","",IFERROR($P5*VLOOKUP($C5,'Base Dados NCM'!$A:$G,2,FALSE),"NCM não encontrado"))</f>
        <v>767.38690315584006</v>
      </c>
      <c r="R5" s="14">
        <f>IF($C5="","",IFERROR(O5*VLOOKUP($C5,'Base Dados NCM'!$A:$G,6,FALSE),"NCM não encontrado"))</f>
        <v>1074.0516083999999</v>
      </c>
      <c r="S5" s="14">
        <f>IF($C5="","",IFERROR(O5*VLOOKUP($C5,'Base Dados NCM'!$A:$G,7,FALSE),"NCM não encontrado"))</f>
        <v>1105.0935623999999</v>
      </c>
      <c r="T5" s="14">
        <f>IF($C5="","",IFERROR($Q5*VLOOKUP($C5,'Base Dados NCM'!$A:$G,4,FALSE),"NCM não encontrado"))</f>
        <v>1181.7758308599937</v>
      </c>
      <c r="U5" s="14">
        <f>IF($C5="","",IFERROR(P5*VLOOKUP($C5,'Base Dados NCM'!$A:$G,5,FALSE),"NCM não encontrado"))</f>
        <v>1043.5063256639999</v>
      </c>
    </row>
    <row r="6" spans="1:22" ht="26.4">
      <c r="A6" s="2"/>
      <c r="B6" s="3" t="s">
        <v>45</v>
      </c>
      <c r="C6" s="2">
        <v>85318000</v>
      </c>
      <c r="D6" s="7">
        <v>587.70000000000005</v>
      </c>
      <c r="E6" s="16">
        <v>0.04</v>
      </c>
      <c r="F6" s="14">
        <f t="shared" si="2"/>
        <v>23.508000000000003</v>
      </c>
      <c r="G6" s="5">
        <v>9.7500000000000003E-2</v>
      </c>
      <c r="H6" s="14">
        <f t="shared" si="3"/>
        <v>57.300750000000008</v>
      </c>
      <c r="I6" s="14">
        <f t="shared" si="4"/>
        <v>564.19200000000001</v>
      </c>
      <c r="J6" s="14">
        <f t="shared" si="5"/>
        <v>57.488079374999998</v>
      </c>
      <c r="K6" s="5">
        <v>0</v>
      </c>
      <c r="L6" s="14">
        <f t="shared" si="6"/>
        <v>0</v>
      </c>
      <c r="M6" s="31" t="s">
        <v>41</v>
      </c>
      <c r="N6" s="14">
        <f t="shared" si="1"/>
        <v>32.250037500000005</v>
      </c>
      <c r="O6" s="14">
        <f t="shared" si="7"/>
        <v>619.76270812500002</v>
      </c>
      <c r="P6" s="14">
        <f t="shared" si="0"/>
        <v>545.39118315000007</v>
      </c>
      <c r="Q6" s="14">
        <f>IF($C6="","",IFERROR($P6*VLOOKUP($C6,'Base Dados NCM'!$A:$G,2,FALSE),"NCM não encontrado"))</f>
        <v>839.90242205100014</v>
      </c>
      <c r="R6" s="14">
        <f>IF($C6="","",IFERROR(O6*VLOOKUP($C6,'Base Dados NCM'!$A:$G,6,FALSE),"NCM não encontrado"))</f>
        <v>1072.1894850562501</v>
      </c>
      <c r="S6" s="14">
        <f>IF($C6="","",IFERROR(O6*VLOOKUP($C6,'Base Dados NCM'!$A:$G,7,FALSE),"NCM não encontrado"))</f>
        <v>1103.1776204625</v>
      </c>
      <c r="T6" s="14">
        <f>IF($C6="","",IFERROR($Q6*VLOOKUP($C6,'Base Dados NCM'!$A:$G,4,FALSE),"NCM não encontrado"))</f>
        <v>1293.4497299585403</v>
      </c>
      <c r="U6" s="14">
        <f>IF($C6="","",IFERROR(P6*VLOOKUP($C6,'Base Dados NCM'!$A:$G,5,FALSE),"NCM não encontrado"))</f>
        <v>1041.6971598165001</v>
      </c>
    </row>
    <row r="7" spans="1:22" ht="26.4">
      <c r="A7" s="2"/>
      <c r="B7" s="3" t="s">
        <v>46</v>
      </c>
      <c r="C7" s="2">
        <v>85363090</v>
      </c>
      <c r="D7" s="7">
        <v>241.07</v>
      </c>
      <c r="E7" s="16">
        <v>7.0000000000000007E-2</v>
      </c>
      <c r="F7" s="14">
        <f t="shared" si="2"/>
        <v>16.8749</v>
      </c>
      <c r="G7" s="5">
        <v>0</v>
      </c>
      <c r="H7" s="14">
        <f t="shared" si="3"/>
        <v>0</v>
      </c>
      <c r="I7" s="14">
        <f t="shared" si="4"/>
        <v>224.19509999999997</v>
      </c>
      <c r="J7" s="14">
        <f t="shared" si="5"/>
        <v>20.738046749999995</v>
      </c>
      <c r="K7" s="5">
        <v>0</v>
      </c>
      <c r="L7" s="14">
        <f t="shared" si="6"/>
        <v>0</v>
      </c>
      <c r="M7" s="31" t="s">
        <v>41</v>
      </c>
      <c r="N7" s="14">
        <f t="shared" si="1"/>
        <v>12.0535</v>
      </c>
      <c r="O7" s="14">
        <f t="shared" si="7"/>
        <v>232.38545324999998</v>
      </c>
      <c r="P7" s="14">
        <f t="shared" si="0"/>
        <v>204.49919885999998</v>
      </c>
      <c r="Q7" s="14">
        <f>IF($C7="","",IFERROR($P7*VLOOKUP($C7,'Base Dados NCM'!$A:$G,2,FALSE),"NCM não encontrado"))</f>
        <v>274.62197414909394</v>
      </c>
      <c r="R7" s="14">
        <f>IF($C7="","",IFERROR(O7*VLOOKUP($C7,'Base Dados NCM'!$A:$G,6,FALSE),"NCM não encontrado"))</f>
        <v>402.02683412249996</v>
      </c>
      <c r="S7" s="14">
        <f>IF($C7="","",IFERROR(O7*VLOOKUP($C7,'Base Dados NCM'!$A:$G,7,FALSE),"NCM não encontrado"))</f>
        <v>413.64610678499997</v>
      </c>
      <c r="T7" s="14">
        <f>IF($C7="","",IFERROR($Q7*VLOOKUP($C7,'Base Dados NCM'!$A:$G,4,FALSE),"NCM não encontrado"))</f>
        <v>422.9178401896047</v>
      </c>
      <c r="U7" s="14">
        <f>IF($C7="","",IFERROR(P7*VLOOKUP($C7,'Base Dados NCM'!$A:$G,5,FALSE),"NCM não encontrado"))</f>
        <v>390.59346982259996</v>
      </c>
    </row>
    <row r="8" spans="1:22">
      <c r="A8" s="2"/>
      <c r="B8" s="3" t="s">
        <v>47</v>
      </c>
      <c r="C8" s="2">
        <v>85176241</v>
      </c>
      <c r="D8" s="7">
        <v>1102.3</v>
      </c>
      <c r="E8" s="16">
        <v>0.04</v>
      </c>
      <c r="F8" s="14">
        <f t="shared" si="2"/>
        <v>44.091999999999999</v>
      </c>
      <c r="G8" s="5">
        <v>0.15</v>
      </c>
      <c r="H8" s="14">
        <f t="shared" si="3"/>
        <v>165.345</v>
      </c>
      <c r="I8" s="14">
        <f t="shared" si="4"/>
        <v>1058.2079999999999</v>
      </c>
      <c r="J8" s="14">
        <f t="shared" si="5"/>
        <v>113.17865249999998</v>
      </c>
      <c r="K8" s="5">
        <v>4.4999999999999998E-2</v>
      </c>
      <c r="L8" s="14">
        <f t="shared" si="6"/>
        <v>49.603499999999997</v>
      </c>
      <c r="M8" s="31" t="s">
        <v>41</v>
      </c>
      <c r="N8" s="14">
        <f t="shared" si="1"/>
        <v>63.382249999999999</v>
      </c>
      <c r="O8" s="14">
        <f t="shared" si="7"/>
        <v>1267.4520974999998</v>
      </c>
      <c r="P8" s="14">
        <f t="shared" si="0"/>
        <v>1115.3578458</v>
      </c>
      <c r="Q8" s="14">
        <f>IF($C8="","",IFERROR($P8*VLOOKUP($C8,'Base Dados NCM'!$A:$G,2,FALSE),"NCM não encontrado"))</f>
        <v>1115.3578458</v>
      </c>
      <c r="R8" s="14">
        <f>IF($C8="","",IFERROR(O8*VLOOKUP($C8,'Base Dados NCM'!$A:$G,6,FALSE),"NCM não encontrado"))</f>
        <v>1951.8762301499999</v>
      </c>
      <c r="S8" s="14">
        <f>IF($C8="","",IFERROR(O8*VLOOKUP($C8,'Base Dados NCM'!$A:$G,7,FALSE),"NCM não encontrado"))</f>
        <v>2230.7156915999999</v>
      </c>
      <c r="T8" s="14">
        <f>IF($C8="","",IFERROR($Q8*VLOOKUP($C8,'Base Dados NCM'!$A:$G,4,FALSE),"NCM não encontrado"))</f>
        <v>1974.183387066</v>
      </c>
      <c r="U8" s="14">
        <f>IF($C8="","",IFERROR(P8*VLOOKUP($C8,'Base Dados NCM'!$A:$G,5,FALSE),"NCM não encontrado"))</f>
        <v>2487.247996134</v>
      </c>
    </row>
    <row r="9" spans="1:22" s="51" customFormat="1" ht="26.4">
      <c r="A9" s="46"/>
      <c r="B9" s="47" t="s">
        <v>48</v>
      </c>
      <c r="C9" s="46">
        <v>85311010</v>
      </c>
      <c r="D9" s="48">
        <v>669.1</v>
      </c>
      <c r="E9" s="49">
        <v>0.04</v>
      </c>
      <c r="F9" s="45">
        <f t="shared" ref="F9:F15" si="8">D9*E9</f>
        <v>26.764000000000003</v>
      </c>
      <c r="G9" s="50">
        <v>9.7500000000000003E-2</v>
      </c>
      <c r="H9" s="45">
        <f t="shared" ref="H9:H15" si="9">D9*G9</f>
        <v>65.237250000000003</v>
      </c>
      <c r="I9" s="45">
        <f t="shared" ref="I9:I15" si="10">D9*(1-E9)</f>
        <v>642.33600000000001</v>
      </c>
      <c r="J9" s="45">
        <f t="shared" ref="J9:J15" si="11">(I9+H9)*9.25%</f>
        <v>65.450525624999997</v>
      </c>
      <c r="K9" s="50">
        <v>0</v>
      </c>
      <c r="L9" s="45">
        <f t="shared" ref="L9:L15" si="12">D9*K9</f>
        <v>0</v>
      </c>
      <c r="M9" s="31" t="s">
        <v>41</v>
      </c>
      <c r="N9" s="14">
        <f t="shared" si="1"/>
        <v>36.716862500000005</v>
      </c>
      <c r="O9" s="45">
        <f t="shared" ref="O9:O15" si="13">(D9+H9+L9+N9)-J9</f>
        <v>705.60358687500013</v>
      </c>
      <c r="P9" s="45">
        <f t="shared" si="0"/>
        <v>620.93115645000012</v>
      </c>
      <c r="Q9" s="45">
        <f>IF($C9="","",IFERROR($P9*VLOOKUP($C9,'Base Dados NCM'!$A:$G,2,FALSE),"NCM não encontrado"))</f>
        <v>872.15990234967023</v>
      </c>
      <c r="R9" s="45">
        <f>IF($C9="","",IFERROR(O9*VLOOKUP($C9,'Base Dados NCM'!$A:$G,6,FALSE),"NCM não encontrado"))</f>
        <v>1220.6942052937502</v>
      </c>
      <c r="S9" s="45">
        <f>IF($C9="","",IFERROR(O9*VLOOKUP($C9,'Base Dados NCM'!$A:$G,7,FALSE),"NCM não encontrado"))</f>
        <v>1255.9743846375002</v>
      </c>
      <c r="T9" s="45">
        <f>IF($C9="","",IFERROR($Q9*VLOOKUP($C9,'Base Dados NCM'!$A:$G,4,FALSE),"NCM não encontrado"))</f>
        <v>1343.1262496184922</v>
      </c>
      <c r="U9" s="45">
        <f>IF($C9="","",IFERROR(P9*VLOOKUP($C9,'Base Dados NCM'!$A:$G,5,FALSE),"NCM não encontrado"))</f>
        <v>1185.9785088195001</v>
      </c>
    </row>
    <row r="10" spans="1:22" s="51" customFormat="1" ht="26.4">
      <c r="A10" s="46"/>
      <c r="B10" s="47" t="s">
        <v>49</v>
      </c>
      <c r="C10" s="46">
        <v>85311010</v>
      </c>
      <c r="D10" s="48">
        <v>208.1</v>
      </c>
      <c r="E10" s="49">
        <v>0.04</v>
      </c>
      <c r="F10" s="45">
        <f t="shared" si="8"/>
        <v>8.3239999999999998</v>
      </c>
      <c r="G10" s="50">
        <v>9.7500000000000003E-2</v>
      </c>
      <c r="H10" s="45">
        <f t="shared" si="9"/>
        <v>20.289750000000002</v>
      </c>
      <c r="I10" s="45">
        <f t="shared" si="10"/>
        <v>199.77599999999998</v>
      </c>
      <c r="J10" s="45">
        <f t="shared" si="11"/>
        <v>20.356081874999997</v>
      </c>
      <c r="K10" s="50">
        <v>0</v>
      </c>
      <c r="L10" s="45">
        <f t="shared" si="12"/>
        <v>0</v>
      </c>
      <c r="M10" s="31" t="s">
        <v>41</v>
      </c>
      <c r="N10" s="14">
        <f t="shared" si="1"/>
        <v>11.419487500000001</v>
      </c>
      <c r="O10" s="45">
        <f t="shared" si="13"/>
        <v>219.45315562499999</v>
      </c>
      <c r="P10" s="45">
        <f t="shared" si="0"/>
        <v>193.11877694999998</v>
      </c>
      <c r="Q10" s="45">
        <f>IF($C10="","",IFERROR($P10*VLOOKUP($C10,'Base Dados NCM'!$A:$G,2,FALSE),"NCM não encontrado"))</f>
        <v>271.25463410396998</v>
      </c>
      <c r="R10" s="45">
        <f>IF($C10="","",IFERROR(O10*VLOOKUP($C10,'Base Dados NCM'!$A:$G,6,FALSE),"NCM não encontrado"))</f>
        <v>379.65395923124998</v>
      </c>
      <c r="S10" s="45">
        <f>IF($C10="","",IFERROR(O10*VLOOKUP($C10,'Base Dados NCM'!$A:$G,7,FALSE),"NCM não encontrado"))</f>
        <v>390.62661701249999</v>
      </c>
      <c r="T10" s="45">
        <f>IF($C10="","",IFERROR($Q10*VLOOKUP($C10,'Base Dados NCM'!$A:$G,4,FALSE),"NCM não encontrado"))</f>
        <v>417.73213652011378</v>
      </c>
      <c r="U10" s="45">
        <f>IF($C10="","",IFERROR(P10*VLOOKUP($C10,'Base Dados NCM'!$A:$G,5,FALSE),"NCM não encontrado"))</f>
        <v>368.85686397449996</v>
      </c>
    </row>
    <row r="11" spans="1:22" s="51" customFormat="1" ht="26.4">
      <c r="A11" s="46"/>
      <c r="B11" s="47" t="s">
        <v>50</v>
      </c>
      <c r="C11" s="46">
        <v>85312000</v>
      </c>
      <c r="D11" s="48">
        <v>7258.3</v>
      </c>
      <c r="E11" s="49">
        <v>0.04</v>
      </c>
      <c r="F11" s="45">
        <f t="shared" si="8"/>
        <v>290.33199999999999</v>
      </c>
      <c r="G11" s="50">
        <v>9.7500000000000003E-2</v>
      </c>
      <c r="H11" s="45">
        <f t="shared" si="9"/>
        <v>707.68425000000002</v>
      </c>
      <c r="I11" s="45">
        <f t="shared" si="10"/>
        <v>6967.9679999999998</v>
      </c>
      <c r="J11" s="45">
        <f t="shared" si="11"/>
        <v>709.99783312500006</v>
      </c>
      <c r="K11" s="50">
        <v>0</v>
      </c>
      <c r="L11" s="45">
        <f t="shared" si="12"/>
        <v>0</v>
      </c>
      <c r="M11" s="31" t="s">
        <v>41</v>
      </c>
      <c r="N11" s="14">
        <f t="shared" si="1"/>
        <v>398.29921250000007</v>
      </c>
      <c r="O11" s="45">
        <f t="shared" si="13"/>
        <v>7654.2856293749992</v>
      </c>
      <c r="P11" s="45">
        <f t="shared" si="0"/>
        <v>6735.7713538499993</v>
      </c>
      <c r="Q11" s="45">
        <f>IF($C11="","",IFERROR($P11*VLOOKUP($C11,'Base Dados NCM'!$A:$G,2,FALSE),"NCM não encontrado"))</f>
        <v>9244.1726060237397</v>
      </c>
      <c r="R11" s="45">
        <f>IF($C11="","",IFERROR(O11*VLOOKUP($C11,'Base Dados NCM'!$A:$G,6,FALSE),"NCM não encontrado"))</f>
        <v>13241.914138818749</v>
      </c>
      <c r="S11" s="45">
        <f>IF($C11="","",IFERROR(O11*VLOOKUP($C11,'Base Dados NCM'!$A:$G,7,FALSE),"NCM não encontrado"))</f>
        <v>13624.628420287499</v>
      </c>
      <c r="T11" s="45">
        <f>IF($C11="","",IFERROR($Q11*VLOOKUP($C11,'Base Dados NCM'!$A:$G,4,FALSE),"NCM não encontrado"))</f>
        <v>14236.025813276559</v>
      </c>
      <c r="U11" s="45">
        <f>IF($C11="","",IFERROR(P11*VLOOKUP($C11,'Base Dados NCM'!$A:$G,5,FALSE),"NCM não encontrado"))</f>
        <v>12865.323285853498</v>
      </c>
    </row>
    <row r="12" spans="1:22" s="51" customFormat="1" ht="28.8">
      <c r="A12" s="46"/>
      <c r="B12" s="60" t="s">
        <v>51</v>
      </c>
      <c r="C12" s="46">
        <v>85312000</v>
      </c>
      <c r="D12" s="48">
        <v>13730.9</v>
      </c>
      <c r="E12" s="49">
        <v>0.04</v>
      </c>
      <c r="F12" s="45">
        <f t="shared" si="8"/>
        <v>549.23599999999999</v>
      </c>
      <c r="G12" s="50">
        <v>9.7500000000000003E-2</v>
      </c>
      <c r="H12" s="45">
        <f t="shared" si="9"/>
        <v>1338.7627500000001</v>
      </c>
      <c r="I12" s="45">
        <f t="shared" si="10"/>
        <v>13181.663999999999</v>
      </c>
      <c r="J12" s="45">
        <f t="shared" si="11"/>
        <v>1343.139474375</v>
      </c>
      <c r="K12" s="50">
        <v>0</v>
      </c>
      <c r="L12" s="45">
        <f t="shared" si="12"/>
        <v>0</v>
      </c>
      <c r="M12" s="31" t="s">
        <v>41</v>
      </c>
      <c r="N12" s="14">
        <f t="shared" si="1"/>
        <v>753.4831375</v>
      </c>
      <c r="O12" s="45">
        <f t="shared" si="13"/>
        <v>14480.006413124998</v>
      </c>
      <c r="P12" s="45">
        <f t="shared" si="0"/>
        <v>12742.405643549999</v>
      </c>
      <c r="Q12" s="45">
        <f>IF($C12="","",IFERROR($P12*VLOOKUP($C12,'Base Dados NCM'!$A:$G,2,FALSE),"NCM não encontrado"))</f>
        <v>17487.677505208019</v>
      </c>
      <c r="R12" s="45">
        <f>IF($C12="","",IFERROR(O12*VLOOKUP($C12,'Base Dados NCM'!$A:$G,6,FALSE),"NCM não encontrado"))</f>
        <v>25050.411094706247</v>
      </c>
      <c r="S12" s="45">
        <f>IF($C12="","",IFERROR(O12*VLOOKUP($C12,'Base Dados NCM'!$A:$G,7,FALSE),"NCM não encontrado"))</f>
        <v>25774.411415362498</v>
      </c>
      <c r="T12" s="45">
        <f>IF($C12="","",IFERROR($Q12*VLOOKUP($C12,'Base Dados NCM'!$A:$G,4,FALSE),"NCM não encontrado"))</f>
        <v>26931.023358020349</v>
      </c>
      <c r="U12" s="45">
        <f>IF($C12="","",IFERROR(P12*VLOOKUP($C12,'Base Dados NCM'!$A:$G,5,FALSE),"NCM não encontrado"))</f>
        <v>24337.994779180495</v>
      </c>
    </row>
    <row r="13" spans="1:22">
      <c r="A13" s="46"/>
      <c r="B13" s="47"/>
      <c r="C13" s="2"/>
      <c r="D13" s="7"/>
      <c r="E13" s="16"/>
      <c r="F13" s="14">
        <f t="shared" si="8"/>
        <v>0</v>
      </c>
      <c r="G13" s="5"/>
      <c r="H13" s="14">
        <f t="shared" si="9"/>
        <v>0</v>
      </c>
      <c r="I13" s="14">
        <f t="shared" si="10"/>
        <v>0</v>
      </c>
      <c r="J13" s="14">
        <f t="shared" si="11"/>
        <v>0</v>
      </c>
      <c r="K13" s="5">
        <v>0</v>
      </c>
      <c r="L13" s="14">
        <f t="shared" si="12"/>
        <v>0</v>
      </c>
      <c r="M13" s="31" t="s">
        <v>28</v>
      </c>
      <c r="N13" s="14">
        <f t="shared" ref="N13" si="14">IF(M13="FOB",(D13+H13)*10%,0)</f>
        <v>0</v>
      </c>
      <c r="O13" s="14">
        <f t="shared" si="13"/>
        <v>0</v>
      </c>
      <c r="P13" s="14">
        <f t="shared" si="0"/>
        <v>0</v>
      </c>
      <c r="Q13" s="14" t="str">
        <f>IF($C13="","",IFERROR($P13*VLOOKUP($C13,'Base Dados NCM'!$A:$G,2,FALSE),"NCM não encontrado"))</f>
        <v/>
      </c>
      <c r="R13" s="14" t="str">
        <f>IF($C13="","",IFERROR(O13*VLOOKUP($C13,'Base Dados NCM'!$A:$G,6,FALSE),"NCM não encontrado"))</f>
        <v/>
      </c>
      <c r="S13" s="14" t="str">
        <f>IF($C13="","",IFERROR(O13*VLOOKUP($C13,'Base Dados NCM'!$A:$G,7,FALSE),"NCM não encontrado"))</f>
        <v/>
      </c>
      <c r="T13" s="14" t="str">
        <f>IF($C13="","",IFERROR($Q13*VLOOKUP($C13,'Base Dados NCM'!$A:$G,4,FALSE),"NCM não encontrado"))</f>
        <v/>
      </c>
      <c r="U13" s="14" t="str">
        <f>IF($C13="","",IFERROR(P13*VLOOKUP($C13,'Base Dados NCM'!$A:$G,5,FALSE),"NCM não encontrado"))</f>
        <v/>
      </c>
    </row>
    <row r="14" spans="1:22">
      <c r="A14" s="2"/>
      <c r="B14" s="47"/>
      <c r="C14" s="2"/>
      <c r="D14" s="7"/>
      <c r="E14" s="16"/>
      <c r="F14" s="14">
        <f t="shared" si="8"/>
        <v>0</v>
      </c>
      <c r="G14" s="5">
        <v>0</v>
      </c>
      <c r="H14" s="14">
        <f t="shared" si="9"/>
        <v>0</v>
      </c>
      <c r="I14" s="14">
        <f t="shared" si="10"/>
        <v>0</v>
      </c>
      <c r="J14" s="14">
        <f t="shared" si="11"/>
        <v>0</v>
      </c>
      <c r="K14" s="5">
        <v>0</v>
      </c>
      <c r="L14" s="14">
        <f t="shared" si="12"/>
        <v>0</v>
      </c>
      <c r="M14" s="31" t="s">
        <v>28</v>
      </c>
      <c r="N14" s="14">
        <f t="shared" ref="N14:N15" si="15">IF(M14="FOB",D14*10%,0)</f>
        <v>0</v>
      </c>
      <c r="O14" s="14">
        <f t="shared" si="13"/>
        <v>0</v>
      </c>
      <c r="P14" s="14">
        <f t="shared" si="0"/>
        <v>0</v>
      </c>
      <c r="Q14" s="14" t="str">
        <f>IF($C14="","",IFERROR($P14*VLOOKUP($C14,'Base Dados NCM'!$A:$G,2,FALSE),"NCM não encontrado"))</f>
        <v/>
      </c>
      <c r="R14" s="14" t="str">
        <f>IF($C14="","",IFERROR(O14*VLOOKUP($C14,'Base Dados NCM'!$A:$G,6,FALSE),"NCM não encontrado"))</f>
        <v/>
      </c>
      <c r="S14" s="14" t="str">
        <f>IF($C14="","",IFERROR(O14*VLOOKUP($C14,'Base Dados NCM'!$A:$G,7,FALSE),"NCM não encontrado"))</f>
        <v/>
      </c>
      <c r="T14" s="14" t="str">
        <f>IF($C14="","",IFERROR($Q14*VLOOKUP($C14,'Base Dados NCM'!$A:$G,4,FALSE),"NCM não encontrado"))</f>
        <v/>
      </c>
      <c r="U14" s="14" t="str">
        <f>IF($C14="","",IFERROR(P14*VLOOKUP($C14,'Base Dados NCM'!$A:$G,5,FALSE),"NCM não encontrado"))</f>
        <v/>
      </c>
    </row>
    <row r="15" spans="1:22">
      <c r="A15" s="2"/>
      <c r="B15" s="47"/>
      <c r="C15" s="2"/>
      <c r="D15" s="7"/>
      <c r="E15" s="16"/>
      <c r="F15" s="14">
        <f t="shared" si="8"/>
        <v>0</v>
      </c>
      <c r="G15" s="5">
        <v>0</v>
      </c>
      <c r="H15" s="14">
        <f t="shared" si="9"/>
        <v>0</v>
      </c>
      <c r="I15" s="14">
        <f t="shared" si="10"/>
        <v>0</v>
      </c>
      <c r="J15" s="14">
        <f t="shared" si="11"/>
        <v>0</v>
      </c>
      <c r="K15" s="5">
        <v>0</v>
      </c>
      <c r="L15" s="14">
        <f t="shared" si="12"/>
        <v>0</v>
      </c>
      <c r="M15" s="31" t="s">
        <v>28</v>
      </c>
      <c r="N15" s="14">
        <f t="shared" si="15"/>
        <v>0</v>
      </c>
      <c r="O15" s="14">
        <f t="shared" si="13"/>
        <v>0</v>
      </c>
      <c r="P15" s="14">
        <f t="shared" si="0"/>
        <v>0</v>
      </c>
      <c r="Q15" s="14" t="str">
        <f>IF($C15="","",IFERROR($P15*VLOOKUP($C15,'Base Dados NCM'!$A:$G,2,FALSE),"NCM não encontrado"))</f>
        <v/>
      </c>
      <c r="R15" s="14" t="str">
        <f>IF($C15="","",IFERROR(O15*VLOOKUP($C15,'Base Dados NCM'!$A:$G,6,FALSE),"NCM não encontrado"))</f>
        <v/>
      </c>
      <c r="S15" s="14" t="str">
        <f>IF($C15="","",IFERROR(O15*VLOOKUP($C15,'Base Dados NCM'!$A:$G,7,FALSE),"NCM não encontrado"))</f>
        <v/>
      </c>
      <c r="T15" s="14" t="str">
        <f>IF($C15="","",IFERROR($Q15*VLOOKUP($C15,'Base Dados NCM'!$A:$G,4,FALSE),"NCM não encontrado"))</f>
        <v/>
      </c>
      <c r="U15" s="14" t="str">
        <f>IF($C15="","",IFERROR(P15*VLOOKUP($C15,'Base Dados NCM'!$A:$G,5,FALSE),"NCM não encontrado"))</f>
        <v/>
      </c>
    </row>
    <row r="16" spans="1:22">
      <c r="A16" s="2"/>
      <c r="B16" s="3"/>
      <c r="C16" s="2"/>
      <c r="D16" s="7"/>
      <c r="E16" s="16"/>
      <c r="F16" s="14">
        <f t="shared" ref="F16:F21" si="16">D16*E16</f>
        <v>0</v>
      </c>
      <c r="G16" s="5">
        <v>0</v>
      </c>
      <c r="H16" s="14">
        <f t="shared" ref="H16:H21" si="17">D16*G16</f>
        <v>0</v>
      </c>
      <c r="I16" s="14">
        <f t="shared" ref="I16:I21" si="18">D16*(1-E16)</f>
        <v>0</v>
      </c>
      <c r="J16" s="14">
        <f t="shared" ref="J16:J21" si="19">(I16+H16)*9.25%</f>
        <v>0</v>
      </c>
      <c r="K16" s="5">
        <v>0</v>
      </c>
      <c r="L16" s="14">
        <f t="shared" ref="L16:L21" si="20">D16*K16</f>
        <v>0</v>
      </c>
      <c r="M16" s="31" t="s">
        <v>28</v>
      </c>
      <c r="N16" s="14">
        <f t="shared" ref="N16:N21" si="21">IF(M16="FOB",D16*10%,0)</f>
        <v>0</v>
      </c>
      <c r="O16" s="14">
        <f t="shared" ref="O16:O21" si="22">(D16+H16+L16+N16)-J16</f>
        <v>0</v>
      </c>
      <c r="P16" s="14">
        <f t="shared" ref="P16:P21" si="23">O16*0.88</f>
        <v>0</v>
      </c>
      <c r="Q16" s="14" t="str">
        <f>IF($C16="","",IFERROR($P16*VLOOKUP($C16,'Base Dados NCM'!$A:$G,2,FALSE),"NCM não encontrado"))</f>
        <v/>
      </c>
      <c r="R16" s="14" t="str">
        <f>IF($C16="","",IFERROR(O16*VLOOKUP($C16,'Base Dados NCM'!$A:$G,6,FALSE),"NCM não encontrado"))</f>
        <v/>
      </c>
      <c r="S16" s="14" t="str">
        <f>IF($C16="","",IFERROR(O16*VLOOKUP($C16,'Base Dados NCM'!$A:$G,7,FALSE),"NCM não encontrado"))</f>
        <v/>
      </c>
      <c r="T16" s="14" t="str">
        <f>IF($C16="","",IFERROR($Q16*VLOOKUP($C16,'Base Dados NCM'!$A:$G,4,FALSE),"NCM não encontrado"))</f>
        <v/>
      </c>
      <c r="U16" s="14" t="str">
        <f>IF($C16="","",IFERROR(P16*VLOOKUP($C16,'Base Dados NCM'!$A:$G,5,FALSE),"NCM não encontrado"))</f>
        <v/>
      </c>
    </row>
    <row r="17" spans="1:22">
      <c r="A17" s="2"/>
      <c r="B17" s="3"/>
      <c r="C17" s="2"/>
      <c r="D17" s="7"/>
      <c r="E17" s="16"/>
      <c r="F17" s="14">
        <f t="shared" si="16"/>
        <v>0</v>
      </c>
      <c r="G17" s="5">
        <v>6.5000000000000002E-2</v>
      </c>
      <c r="H17" s="14">
        <f t="shared" si="17"/>
        <v>0</v>
      </c>
      <c r="I17" s="14">
        <f t="shared" si="18"/>
        <v>0</v>
      </c>
      <c r="J17" s="14">
        <f t="shared" si="19"/>
        <v>0</v>
      </c>
      <c r="K17" s="5">
        <v>0</v>
      </c>
      <c r="L17" s="14">
        <f t="shared" si="20"/>
        <v>0</v>
      </c>
      <c r="M17" s="31" t="s">
        <v>28</v>
      </c>
      <c r="N17" s="14">
        <f t="shared" si="21"/>
        <v>0</v>
      </c>
      <c r="O17" s="14">
        <f t="shared" si="22"/>
        <v>0</v>
      </c>
      <c r="P17" s="14">
        <f t="shared" si="23"/>
        <v>0</v>
      </c>
      <c r="Q17" s="14" t="str">
        <f>IF($C17="","",IFERROR($P17*VLOOKUP($C17,'Base Dados NCM'!$A:$G,2,FALSE),"NCM não encontrado"))</f>
        <v/>
      </c>
      <c r="R17" s="14" t="str">
        <f>IF($C17="","",IFERROR(O17*VLOOKUP($C17,'Base Dados NCM'!$A:$G,6,FALSE),"NCM não encontrado"))</f>
        <v/>
      </c>
      <c r="S17" s="14" t="str">
        <f>IF($C17="","",IFERROR(O17*VLOOKUP($C17,'Base Dados NCM'!$A:$G,7,FALSE),"NCM não encontrado"))</f>
        <v/>
      </c>
      <c r="T17" s="14" t="str">
        <f>IF($C17="","",IFERROR($Q17*VLOOKUP($C17,'Base Dados NCM'!$A:$G,4,FALSE),"NCM não encontrado"))</f>
        <v/>
      </c>
      <c r="U17" s="14" t="str">
        <f>IF($C17="","",IFERROR(P17*VLOOKUP($C17,'Base Dados NCM'!$A:$G,5,FALSE),"NCM não encontrado"))</f>
        <v/>
      </c>
    </row>
    <row r="18" spans="1:22">
      <c r="A18" s="2"/>
      <c r="B18" s="3"/>
      <c r="C18" s="2"/>
      <c r="D18" s="7"/>
      <c r="E18" s="16"/>
      <c r="F18" s="14">
        <f t="shared" si="16"/>
        <v>0</v>
      </c>
      <c r="G18" s="5">
        <v>9.7500000000000003E-2</v>
      </c>
      <c r="H18" s="14">
        <f t="shared" si="17"/>
        <v>0</v>
      </c>
      <c r="I18" s="14">
        <f t="shared" si="18"/>
        <v>0</v>
      </c>
      <c r="J18" s="14">
        <f t="shared" si="19"/>
        <v>0</v>
      </c>
      <c r="K18" s="5">
        <v>0</v>
      </c>
      <c r="L18" s="14">
        <f t="shared" si="20"/>
        <v>0</v>
      </c>
      <c r="M18" s="31" t="s">
        <v>28</v>
      </c>
      <c r="N18" s="14">
        <f t="shared" si="21"/>
        <v>0</v>
      </c>
      <c r="O18" s="14">
        <f t="shared" si="22"/>
        <v>0</v>
      </c>
      <c r="P18" s="14">
        <f t="shared" si="23"/>
        <v>0</v>
      </c>
      <c r="Q18" s="14" t="str">
        <f>IF($C18="","",IFERROR($P18*VLOOKUP($C18,'Base Dados NCM'!$A:$G,2,FALSE),"NCM não encontrado"))</f>
        <v/>
      </c>
      <c r="R18" s="14" t="str">
        <f>IF($C18="","",IFERROR(O18*VLOOKUP($C18,'Base Dados NCM'!$A:$G,6,FALSE),"NCM não encontrado"))</f>
        <v/>
      </c>
      <c r="S18" s="14" t="str">
        <f>IF($C18="","",IFERROR(O18*VLOOKUP($C18,'Base Dados NCM'!$A:$G,7,FALSE),"NCM não encontrado"))</f>
        <v/>
      </c>
      <c r="T18" s="14" t="str">
        <f>IF($C18="","",IFERROR($Q18*VLOOKUP($C18,'Base Dados NCM'!$A:$G,4,FALSE),"NCM não encontrado"))</f>
        <v/>
      </c>
      <c r="U18" s="14" t="str">
        <f>IF($C18="","",IFERROR(P18*VLOOKUP($C18,'Base Dados NCM'!$A:$G,5,FALSE),"NCM não encontrado"))</f>
        <v/>
      </c>
    </row>
    <row r="19" spans="1:22">
      <c r="A19" s="2"/>
      <c r="B19" s="3"/>
      <c r="C19" s="2"/>
      <c r="D19" s="7"/>
      <c r="E19" s="16"/>
      <c r="F19" s="14">
        <f t="shared" si="16"/>
        <v>0</v>
      </c>
      <c r="G19" s="5">
        <v>9.7500000000000003E-2</v>
      </c>
      <c r="H19" s="14">
        <f t="shared" si="17"/>
        <v>0</v>
      </c>
      <c r="I19" s="14">
        <f t="shared" si="18"/>
        <v>0</v>
      </c>
      <c r="J19" s="14">
        <f t="shared" si="19"/>
        <v>0</v>
      </c>
      <c r="K19" s="5">
        <v>0</v>
      </c>
      <c r="L19" s="14">
        <f t="shared" si="20"/>
        <v>0</v>
      </c>
      <c r="M19" s="31" t="s">
        <v>28</v>
      </c>
      <c r="N19" s="14">
        <f t="shared" si="21"/>
        <v>0</v>
      </c>
      <c r="O19" s="14">
        <f t="shared" si="22"/>
        <v>0</v>
      </c>
      <c r="P19" s="14">
        <f t="shared" si="23"/>
        <v>0</v>
      </c>
      <c r="Q19" s="14" t="str">
        <f>IF($C19="","",IFERROR($P19*VLOOKUP($C19,'Base Dados NCM'!$A:$G,2,FALSE),"NCM não encontrado"))</f>
        <v/>
      </c>
      <c r="R19" s="14" t="str">
        <f>IF($C19="","",IFERROR(O19*VLOOKUP($C19,'Base Dados NCM'!$A:$G,6,FALSE),"NCM não encontrado"))</f>
        <v/>
      </c>
      <c r="S19" s="14" t="str">
        <f>IF($C19="","",IFERROR(O19*VLOOKUP($C19,'Base Dados NCM'!$A:$G,7,FALSE),"NCM não encontrado"))</f>
        <v/>
      </c>
      <c r="T19" s="14" t="str">
        <f>IF($C19="","",IFERROR($Q19*VLOOKUP($C19,'Base Dados NCM'!$A:$G,4,FALSE),"NCM não encontrado"))</f>
        <v/>
      </c>
      <c r="U19" s="14" t="str">
        <f>IF($C19="","",IFERROR(P19*VLOOKUP($C19,'Base Dados NCM'!$A:$G,5,FALSE),"NCM não encontrado"))</f>
        <v/>
      </c>
    </row>
    <row r="20" spans="1:22">
      <c r="A20" s="2"/>
      <c r="B20" s="3"/>
      <c r="C20" s="2"/>
      <c r="D20" s="7"/>
      <c r="E20" s="16"/>
      <c r="F20" s="14">
        <f t="shared" si="16"/>
        <v>0</v>
      </c>
      <c r="G20" s="5"/>
      <c r="H20" s="14">
        <f t="shared" si="17"/>
        <v>0</v>
      </c>
      <c r="I20" s="14">
        <f t="shared" si="18"/>
        <v>0</v>
      </c>
      <c r="J20" s="14">
        <f t="shared" si="19"/>
        <v>0</v>
      </c>
      <c r="K20" s="5"/>
      <c r="L20" s="14">
        <f t="shared" si="20"/>
        <v>0</v>
      </c>
      <c r="M20" s="31"/>
      <c r="N20" s="14">
        <f t="shared" si="21"/>
        <v>0</v>
      </c>
      <c r="O20" s="14">
        <f t="shared" si="22"/>
        <v>0</v>
      </c>
      <c r="P20" s="14">
        <f t="shared" si="23"/>
        <v>0</v>
      </c>
      <c r="Q20" s="14" t="str">
        <f>IF($C20="","",IFERROR($P20*VLOOKUP($C20,'Base Dados NCM'!$A:$G,2,FALSE),"NCM não encontrado"))</f>
        <v/>
      </c>
      <c r="R20" s="14" t="str">
        <f>IF($C20="","",IFERROR(O20*VLOOKUP($C20,'Base Dados NCM'!$A:$G,6,FALSE),"NCM não encontrado"))</f>
        <v/>
      </c>
      <c r="S20" s="14" t="str">
        <f>IF($C20="","",IFERROR(O20*VLOOKUP($C20,'Base Dados NCM'!$A:$G,7,FALSE),"NCM não encontrado"))</f>
        <v/>
      </c>
      <c r="T20" s="14" t="str">
        <f>IF($C20="","",IFERROR($Q20*VLOOKUP($C20,'Base Dados NCM'!$A:$G,4,FALSE),"NCM não encontrado"))</f>
        <v/>
      </c>
      <c r="U20" s="14" t="str">
        <f>IF($C20="","",IFERROR(P20*VLOOKUP($C20,'Base Dados NCM'!$A:$G,5,FALSE),"NCM não encontrado"))</f>
        <v/>
      </c>
    </row>
    <row r="21" spans="1:22">
      <c r="A21" s="2"/>
      <c r="B21" s="3"/>
      <c r="C21" s="2"/>
      <c r="D21" s="7"/>
      <c r="E21" s="16"/>
      <c r="F21" s="14">
        <f t="shared" si="16"/>
        <v>0</v>
      </c>
      <c r="G21" s="5"/>
      <c r="H21" s="14">
        <f t="shared" si="17"/>
        <v>0</v>
      </c>
      <c r="I21" s="14">
        <f t="shared" si="18"/>
        <v>0</v>
      </c>
      <c r="J21" s="14">
        <f t="shared" si="19"/>
        <v>0</v>
      </c>
      <c r="K21" s="5"/>
      <c r="L21" s="14">
        <f t="shared" si="20"/>
        <v>0</v>
      </c>
      <c r="M21" s="31"/>
      <c r="N21" s="14">
        <f t="shared" si="21"/>
        <v>0</v>
      </c>
      <c r="O21" s="14">
        <f t="shared" si="22"/>
        <v>0</v>
      </c>
      <c r="P21" s="14">
        <f t="shared" si="23"/>
        <v>0</v>
      </c>
      <c r="Q21" s="14" t="str">
        <f>IF($C21="","",IFERROR($P21*VLOOKUP($C21,'Base Dados NCM'!$A:$G,2,FALSE),"NCM não encontrado"))</f>
        <v/>
      </c>
      <c r="R21" s="14" t="str">
        <f>IF($C21="","",IFERROR(O21*VLOOKUP($C21,'Base Dados NCM'!$A:$G,6,FALSE),"NCM não encontrado"))</f>
        <v/>
      </c>
      <c r="S21" s="14" t="str">
        <f>IF($C21="","",IFERROR(O21*VLOOKUP($C21,'Base Dados NCM'!$A:$G,7,FALSE),"NCM não encontrado"))</f>
        <v/>
      </c>
      <c r="T21" s="14" t="str">
        <f>IF($C21="","",IFERROR($Q21*VLOOKUP($C21,'Base Dados NCM'!$A:$G,4,FALSE),"NCM não encontrado"))</f>
        <v/>
      </c>
      <c r="U21" s="14" t="str">
        <f>IF($C21="","",IFERROR(P21*VLOOKUP($C21,'Base Dados NCM'!$A:$G,5,FALSE),"NCM não encontrado"))</f>
        <v/>
      </c>
    </row>
    <row r="22" spans="1:22">
      <c r="A22" s="2"/>
      <c r="B22" s="3"/>
      <c r="C22" s="2"/>
      <c r="D22" s="7"/>
      <c r="E22" s="16"/>
      <c r="F22" s="14">
        <f t="shared" ref="F22:F27" si="24">D22*E22</f>
        <v>0</v>
      </c>
      <c r="G22" s="5"/>
      <c r="H22" s="14">
        <f t="shared" ref="H22:H27" si="25">D22*G22</f>
        <v>0</v>
      </c>
      <c r="I22" s="14">
        <f t="shared" ref="I22:I27" si="26">D22*(1-E22)</f>
        <v>0</v>
      </c>
      <c r="J22" s="14">
        <f t="shared" ref="J22:J27" si="27">(I22+H22)*9.25%</f>
        <v>0</v>
      </c>
      <c r="K22" s="5"/>
      <c r="L22" s="14">
        <f t="shared" ref="L22:L27" si="28">D22*K22</f>
        <v>0</v>
      </c>
      <c r="M22" s="31"/>
      <c r="N22" s="14">
        <f t="shared" ref="N22:N27" si="29">IF(M22="FOB",D22*10%,0)</f>
        <v>0</v>
      </c>
      <c r="O22" s="14">
        <f t="shared" ref="O22:O27" si="30">(D22+H22+L22+N22)-J22</f>
        <v>0</v>
      </c>
      <c r="P22" s="14">
        <f t="shared" ref="P22:P27" si="31">O22*0.88</f>
        <v>0</v>
      </c>
      <c r="Q22" s="14" t="str">
        <f>IF($C22="","",IFERROR($P22*VLOOKUP($C22,'Base Dados NCM'!$A:$G,2,FALSE),"NCM não encontrado"))</f>
        <v/>
      </c>
      <c r="R22" s="14" t="str">
        <f>IF($C22="","",IFERROR(O22*VLOOKUP($C22,'Base Dados NCM'!$A:$G,6,FALSE),"NCM não encontrado"))</f>
        <v/>
      </c>
      <c r="S22" s="14" t="str">
        <f>IF($C22="","",IFERROR(O22*VLOOKUP($C22,'Base Dados NCM'!$A:$G,7,FALSE),"NCM não encontrado"))</f>
        <v/>
      </c>
      <c r="T22" s="14" t="str">
        <f>IF($C22="","",IFERROR($Q22*VLOOKUP($C22,'Base Dados NCM'!$A:$G,4,FALSE),"NCM não encontrado"))</f>
        <v/>
      </c>
      <c r="U22" s="14" t="str">
        <f>IF($C22="","",IFERROR(P22*VLOOKUP($C22,'Base Dados NCM'!$A:$G,5,FALSE),"NCM não encontrado"))</f>
        <v/>
      </c>
    </row>
    <row r="23" spans="1:22">
      <c r="A23" s="2"/>
      <c r="B23" s="3"/>
      <c r="C23" s="2"/>
      <c r="D23" s="7"/>
      <c r="E23" s="16"/>
      <c r="F23" s="14">
        <f t="shared" si="24"/>
        <v>0</v>
      </c>
      <c r="G23" s="5"/>
      <c r="H23" s="14">
        <f t="shared" si="25"/>
        <v>0</v>
      </c>
      <c r="I23" s="14">
        <f t="shared" si="26"/>
        <v>0</v>
      </c>
      <c r="J23" s="14">
        <f t="shared" si="27"/>
        <v>0</v>
      </c>
      <c r="K23" s="5"/>
      <c r="L23" s="14">
        <f t="shared" si="28"/>
        <v>0</v>
      </c>
      <c r="M23" s="31"/>
      <c r="N23" s="14">
        <f t="shared" si="29"/>
        <v>0</v>
      </c>
      <c r="O23" s="14">
        <f t="shared" si="30"/>
        <v>0</v>
      </c>
      <c r="P23" s="14">
        <f t="shared" si="31"/>
        <v>0</v>
      </c>
      <c r="Q23" s="14" t="str">
        <f>IF($C23="","",IFERROR($P23*VLOOKUP($C23,'Base Dados NCM'!$A:$G,2,FALSE),"NCM não encontrado"))</f>
        <v/>
      </c>
      <c r="R23" s="14" t="str">
        <f>IF($C23="","",IFERROR(O23*VLOOKUP($C23,'Base Dados NCM'!$A:$G,6,FALSE),"NCM não encontrado"))</f>
        <v/>
      </c>
      <c r="S23" s="14" t="str">
        <f>IF($C23="","",IFERROR(O23*VLOOKUP($C23,'Base Dados NCM'!$A:$G,7,FALSE),"NCM não encontrado"))</f>
        <v/>
      </c>
      <c r="T23" s="14" t="str">
        <f>IF($C23="","",IFERROR($Q23*VLOOKUP($C23,'Base Dados NCM'!$A:$G,4,FALSE),"NCM não encontrado"))</f>
        <v/>
      </c>
      <c r="U23" s="14" t="str">
        <f>IF($C23="","",IFERROR(P23*VLOOKUP($C23,'Base Dados NCM'!$A:$G,5,FALSE),"NCM não encontrado"))</f>
        <v/>
      </c>
    </row>
    <row r="24" spans="1:22">
      <c r="A24" s="2"/>
      <c r="B24" s="3"/>
      <c r="C24" s="2"/>
      <c r="D24" s="7"/>
      <c r="E24" s="16"/>
      <c r="F24" s="14">
        <f t="shared" si="24"/>
        <v>0</v>
      </c>
      <c r="G24" s="5"/>
      <c r="H24" s="14">
        <f t="shared" si="25"/>
        <v>0</v>
      </c>
      <c r="I24" s="14">
        <f t="shared" si="26"/>
        <v>0</v>
      </c>
      <c r="J24" s="14">
        <f t="shared" si="27"/>
        <v>0</v>
      </c>
      <c r="K24" s="5"/>
      <c r="L24" s="14">
        <f t="shared" si="28"/>
        <v>0</v>
      </c>
      <c r="M24" s="31"/>
      <c r="N24" s="14">
        <f t="shared" si="29"/>
        <v>0</v>
      </c>
      <c r="O24" s="14">
        <f t="shared" si="30"/>
        <v>0</v>
      </c>
      <c r="P24" s="14">
        <f t="shared" si="31"/>
        <v>0</v>
      </c>
      <c r="Q24" s="14" t="str">
        <f>IF($C24="","",IFERROR($P24*VLOOKUP($C24,'Base Dados NCM'!$A:$G,2,FALSE),"NCM não encontrado"))</f>
        <v/>
      </c>
      <c r="R24" s="14" t="str">
        <f>IF($C24="","",IFERROR(O24*VLOOKUP($C24,'Base Dados NCM'!$A:$G,6,FALSE),"NCM não encontrado"))</f>
        <v/>
      </c>
      <c r="S24" s="14" t="str">
        <f>IF($C24="","",IFERROR(O24*VLOOKUP($C24,'Base Dados NCM'!$A:$G,7,FALSE),"NCM não encontrado"))</f>
        <v/>
      </c>
      <c r="T24" s="14" t="str">
        <f>IF($C24="","",IFERROR($Q24*VLOOKUP($C24,'Base Dados NCM'!$A:$G,4,FALSE),"NCM não encontrado"))</f>
        <v/>
      </c>
      <c r="U24" s="14" t="str">
        <f>IF($C24="","",IFERROR(P24*VLOOKUP($C24,'Base Dados NCM'!$A:$G,5,FALSE),"NCM não encontrado"))</f>
        <v/>
      </c>
    </row>
    <row r="25" spans="1:22">
      <c r="A25" s="2"/>
      <c r="B25" s="3"/>
      <c r="C25" s="2"/>
      <c r="D25" s="7"/>
      <c r="E25" s="16"/>
      <c r="F25" s="14">
        <f t="shared" si="24"/>
        <v>0</v>
      </c>
      <c r="G25" s="5"/>
      <c r="H25" s="14">
        <f t="shared" si="25"/>
        <v>0</v>
      </c>
      <c r="I25" s="14">
        <f t="shared" si="26"/>
        <v>0</v>
      </c>
      <c r="J25" s="14">
        <f t="shared" si="27"/>
        <v>0</v>
      </c>
      <c r="K25" s="5"/>
      <c r="L25" s="14">
        <f t="shared" si="28"/>
        <v>0</v>
      </c>
      <c r="M25" s="31"/>
      <c r="N25" s="14">
        <f t="shared" si="29"/>
        <v>0</v>
      </c>
      <c r="O25" s="14">
        <f t="shared" si="30"/>
        <v>0</v>
      </c>
      <c r="P25" s="14">
        <f t="shared" si="31"/>
        <v>0</v>
      </c>
      <c r="Q25" s="14" t="str">
        <f>IF($C25="","",IFERROR($P25*VLOOKUP($C25,'Base Dados NCM'!$A:$G,2,FALSE),"NCM não encontrado"))</f>
        <v/>
      </c>
      <c r="R25" s="14" t="str">
        <f>IF($C25="","",IFERROR(O25*VLOOKUP($C25,'Base Dados NCM'!$A:$G,6,FALSE),"NCM não encontrado"))</f>
        <v/>
      </c>
      <c r="S25" s="14" t="str">
        <f>IF($C25="","",IFERROR(O25*VLOOKUP($C25,'Base Dados NCM'!$A:$G,7,FALSE),"NCM não encontrado"))</f>
        <v/>
      </c>
      <c r="T25" s="14" t="str">
        <f>IF($C25="","",IFERROR($Q25*VLOOKUP($C25,'Base Dados NCM'!$A:$G,4,FALSE),"NCM não encontrado"))</f>
        <v/>
      </c>
      <c r="U25" s="14" t="str">
        <f>IF($C25="","",IFERROR(P25*VLOOKUP($C25,'Base Dados NCM'!$A:$G,5,FALSE),"NCM não encontrado"))</f>
        <v/>
      </c>
    </row>
    <row r="26" spans="1:22">
      <c r="A26" s="2"/>
      <c r="B26" s="3"/>
      <c r="C26" s="2"/>
      <c r="D26" s="7"/>
      <c r="E26" s="16"/>
      <c r="F26" s="14">
        <f t="shared" si="24"/>
        <v>0</v>
      </c>
      <c r="G26" s="5"/>
      <c r="H26" s="14">
        <f t="shared" si="25"/>
        <v>0</v>
      </c>
      <c r="I26" s="14">
        <f t="shared" si="26"/>
        <v>0</v>
      </c>
      <c r="J26" s="14">
        <f t="shared" si="27"/>
        <v>0</v>
      </c>
      <c r="K26" s="5"/>
      <c r="L26" s="14">
        <f t="shared" si="28"/>
        <v>0</v>
      </c>
      <c r="M26" s="31"/>
      <c r="N26" s="14">
        <f t="shared" si="29"/>
        <v>0</v>
      </c>
      <c r="O26" s="14">
        <f t="shared" si="30"/>
        <v>0</v>
      </c>
      <c r="P26" s="14">
        <f t="shared" si="31"/>
        <v>0</v>
      </c>
      <c r="Q26" s="14" t="str">
        <f>IF($C26="","",IFERROR($P26*VLOOKUP($C26,'Base Dados NCM'!$A:$G,2,FALSE),"NCM não encontrado"))</f>
        <v/>
      </c>
      <c r="R26" s="14" t="str">
        <f>IF($C26="","",IFERROR(O26*VLOOKUP($C26,'Base Dados NCM'!$A:$G,6,FALSE),"NCM não encontrado"))</f>
        <v/>
      </c>
      <c r="S26" s="14" t="str">
        <f>IF($C26="","",IFERROR(O26*VLOOKUP($C26,'Base Dados NCM'!$A:$G,7,FALSE),"NCM não encontrado"))</f>
        <v/>
      </c>
      <c r="T26" s="14" t="str">
        <f>IF($C26="","",IFERROR($Q26*VLOOKUP($C26,'Base Dados NCM'!$A:$G,4,FALSE),"NCM não encontrado"))</f>
        <v/>
      </c>
      <c r="U26" s="14" t="str">
        <f>IF($C26="","",IFERROR(P26*VLOOKUP($C26,'Base Dados NCM'!$A:$G,5,FALSE),"NCM não encontrado"))</f>
        <v/>
      </c>
    </row>
    <row r="27" spans="1:22">
      <c r="A27" s="2"/>
      <c r="B27" s="3"/>
      <c r="C27" s="2"/>
      <c r="D27" s="7"/>
      <c r="E27" s="16"/>
      <c r="F27" s="14">
        <f t="shared" si="24"/>
        <v>0</v>
      </c>
      <c r="G27" s="5"/>
      <c r="H27" s="14">
        <f t="shared" si="25"/>
        <v>0</v>
      </c>
      <c r="I27" s="14">
        <f t="shared" si="26"/>
        <v>0</v>
      </c>
      <c r="J27" s="14">
        <f t="shared" si="27"/>
        <v>0</v>
      </c>
      <c r="K27" s="5"/>
      <c r="L27" s="14">
        <f t="shared" si="28"/>
        <v>0</v>
      </c>
      <c r="M27" s="31"/>
      <c r="N27" s="14">
        <f t="shared" si="29"/>
        <v>0</v>
      </c>
      <c r="O27" s="14">
        <f t="shared" si="30"/>
        <v>0</v>
      </c>
      <c r="P27" s="14">
        <f t="shared" si="31"/>
        <v>0</v>
      </c>
      <c r="Q27" s="14" t="str">
        <f>IF($C27="","",IFERROR($P27*VLOOKUP($C27,'Base Dados NCM'!$A:$G,2,FALSE),"NCM não encontrado"))</f>
        <v/>
      </c>
      <c r="R27" s="14" t="str">
        <f>IF($C27="","",IFERROR(O27*VLOOKUP($C27,'Base Dados NCM'!$A:$G,6,FALSE),"NCM não encontrado"))</f>
        <v/>
      </c>
      <c r="S27" s="14" t="str">
        <f>IF($C27="","",IFERROR(O27*VLOOKUP($C27,'Base Dados NCM'!$A:$G,7,FALSE),"NCM não encontrado"))</f>
        <v/>
      </c>
      <c r="T27" s="14" t="str">
        <f>IF($C27="","",IFERROR($Q27*VLOOKUP($C27,'Base Dados NCM'!$A:$G,4,FALSE),"NCM não encontrado"))</f>
        <v/>
      </c>
      <c r="U27" s="14" t="str">
        <f>IF($C27="","",IFERROR(P27*VLOOKUP($C27,'Base Dados NCM'!$A:$G,5,FALSE),"NCM não encontrado"))</f>
        <v/>
      </c>
    </row>
    <row r="28" spans="1:22">
      <c r="A28" s="9"/>
      <c r="B28" s="10"/>
      <c r="C28" s="9"/>
      <c r="D28" s="13"/>
      <c r="E28" s="17"/>
      <c r="F28" s="15"/>
      <c r="G28" s="11"/>
      <c r="H28" s="15"/>
      <c r="I28" s="15"/>
      <c r="J28" s="15"/>
      <c r="K28" s="11"/>
      <c r="L28" s="15"/>
      <c r="M28" s="59"/>
      <c r="N28" s="15"/>
      <c r="O28" s="15"/>
      <c r="P28" s="15"/>
      <c r="Q28" s="15"/>
      <c r="R28" s="15"/>
      <c r="S28" s="15"/>
      <c r="T28" s="15"/>
      <c r="U28" s="15"/>
    </row>
    <row r="29" spans="1:22">
      <c r="A29" s="9"/>
      <c r="B29" s="10"/>
      <c r="C29" s="9"/>
      <c r="D29" s="13"/>
      <c r="E29" s="17"/>
      <c r="F29" s="15"/>
      <c r="G29" s="11"/>
      <c r="H29" s="15"/>
      <c r="I29" s="15"/>
      <c r="J29" s="15"/>
      <c r="K29" s="11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2">
      <c r="A30" s="9"/>
      <c r="B30" s="10"/>
      <c r="C30" s="9"/>
      <c r="D30" s="13"/>
      <c r="E30" s="17"/>
      <c r="F30" s="15"/>
      <c r="G30" s="11"/>
      <c r="H30" s="15"/>
      <c r="I30" s="15"/>
      <c r="J30" s="15"/>
      <c r="K30" s="11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2">
      <c r="A31" s="9"/>
      <c r="B31" s="10"/>
      <c r="C31" s="9"/>
      <c r="D31" s="13"/>
      <c r="E31" s="17"/>
      <c r="F31" s="15"/>
      <c r="G31" s="11"/>
      <c r="H31" s="15"/>
      <c r="I31" s="15"/>
      <c r="J31" s="15"/>
      <c r="K31" s="11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2" ht="25.2" customHeight="1">
      <c r="A32" s="61" t="s">
        <v>15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3"/>
      <c r="R32" s="65" t="s">
        <v>31</v>
      </c>
      <c r="S32" s="65"/>
      <c r="T32" s="44" t="s">
        <v>34</v>
      </c>
      <c r="U32" s="28">
        <v>125</v>
      </c>
      <c r="V32">
        <v>65.489999999999995</v>
      </c>
    </row>
    <row r="33" spans="1:22" ht="39.6" customHeight="1">
      <c r="A33" s="33" t="s">
        <v>32</v>
      </c>
      <c r="B33" s="34" t="s">
        <v>40</v>
      </c>
      <c r="C33" s="35" t="s">
        <v>1</v>
      </c>
      <c r="D33" s="36" t="s">
        <v>2</v>
      </c>
      <c r="E33" s="37" t="s">
        <v>3</v>
      </c>
      <c r="F33" s="40" t="s">
        <v>4</v>
      </c>
      <c r="G33" s="39" t="s">
        <v>5</v>
      </c>
      <c r="H33" s="40" t="s">
        <v>6</v>
      </c>
      <c r="I33" s="38" t="s">
        <v>7</v>
      </c>
      <c r="J33" s="40" t="s">
        <v>8</v>
      </c>
      <c r="K33" s="38" t="s">
        <v>9</v>
      </c>
      <c r="L33" s="38" t="s">
        <v>10</v>
      </c>
      <c r="M33" s="41" t="s">
        <v>27</v>
      </c>
      <c r="N33" s="40" t="s">
        <v>26</v>
      </c>
      <c r="O33" s="42" t="s">
        <v>36</v>
      </c>
      <c r="P33" s="52" t="s">
        <v>12</v>
      </c>
      <c r="Q33" s="42" t="s">
        <v>13</v>
      </c>
      <c r="R33" s="12" t="s">
        <v>30</v>
      </c>
      <c r="S33" s="25" t="s">
        <v>29</v>
      </c>
      <c r="T33" s="44" t="s">
        <v>33</v>
      </c>
      <c r="U33" s="43"/>
      <c r="V33" s="4">
        <f>U32/V32</f>
        <v>1.9086883493663156</v>
      </c>
    </row>
    <row r="34" spans="1:22" s="8" customFormat="1" ht="14.4" customHeight="1">
      <c r="A34" s="2" t="s">
        <v>54</v>
      </c>
      <c r="B34" s="3" t="s">
        <v>53</v>
      </c>
      <c r="C34" s="2">
        <v>85182200</v>
      </c>
      <c r="D34" s="7">
        <v>129.35</v>
      </c>
      <c r="E34" s="16">
        <v>0.12</v>
      </c>
      <c r="F34" s="19">
        <f t="shared" ref="F34:F37" si="32">D34*E34</f>
        <v>15.521999999999998</v>
      </c>
      <c r="G34" s="5">
        <v>0.15</v>
      </c>
      <c r="H34" s="14">
        <f t="shared" ref="H34:H37" si="33">D34*G34</f>
        <v>19.4025</v>
      </c>
      <c r="I34" s="14">
        <f t="shared" ref="I34:I37" si="34">D34*(1-E34)</f>
        <v>113.82799999999999</v>
      </c>
      <c r="J34" s="14">
        <f t="shared" ref="J34:J37" si="35">(I34+H34)*9.25%</f>
        <v>12.323821249999998</v>
      </c>
      <c r="K34" s="20"/>
      <c r="L34" s="19">
        <f t="shared" ref="L34:L37" si="36">D34*K34</f>
        <v>0</v>
      </c>
      <c r="M34" s="19" t="s">
        <v>28</v>
      </c>
      <c r="N34" s="19">
        <f>IF(M34="FOB",(D34+H34)*5%,0)</f>
        <v>0</v>
      </c>
      <c r="O34" s="19">
        <f>P34*1.12</f>
        <v>135.41548020000002</v>
      </c>
      <c r="P34" s="19">
        <f>(D34+H34+N34)-J34-F34</f>
        <v>120.90667875</v>
      </c>
      <c r="Q34" s="19">
        <f>IF($C34="","",IFERROR($P34*VLOOKUP($C34,'Base Dados NCM'!$A:$G,2,FALSE),"NCM não encontrado"))</f>
        <v>120.90667875</v>
      </c>
      <c r="R34" s="26">
        <f>IF($C34="","",IFERROR($Q34*VLOOKUP($C34,'Base Dados NCM'!$A:$G,4,FALSE),"NCM não encontrado"))</f>
        <v>273.24909397499999</v>
      </c>
      <c r="S34" s="28">
        <f>IF($C34="","",IFERROR($P34*VLOOKUP($C34,'Base Dados NCM'!$A:$G,5,FALSE),"NCM não encontrado"))</f>
        <v>230.93175641249999</v>
      </c>
      <c r="T34" s="27"/>
      <c r="U34" s="27"/>
    </row>
    <row r="35" spans="1:22">
      <c r="A35" s="2">
        <v>32624</v>
      </c>
      <c r="B35" s="3" t="s">
        <v>55</v>
      </c>
      <c r="C35" s="2">
        <v>85437019</v>
      </c>
      <c r="D35" s="7">
        <v>207.5</v>
      </c>
      <c r="E35" s="16">
        <v>0.12</v>
      </c>
      <c r="F35" s="19">
        <f t="shared" si="32"/>
        <v>24.9</v>
      </c>
      <c r="G35" s="5">
        <v>6.5000000000000002E-2</v>
      </c>
      <c r="H35" s="14">
        <f t="shared" si="33"/>
        <v>13.487500000000001</v>
      </c>
      <c r="I35" s="14">
        <f t="shared" si="34"/>
        <v>182.6</v>
      </c>
      <c r="J35" s="14">
        <f t="shared" si="35"/>
        <v>18.138093749999999</v>
      </c>
      <c r="K35" s="20"/>
      <c r="L35" s="19">
        <f t="shared" si="36"/>
        <v>0</v>
      </c>
      <c r="M35" s="19" t="s">
        <v>28</v>
      </c>
      <c r="N35" s="19">
        <f t="shared" ref="N35:N36" si="37">IF(M35="FOB",(D35+H35)*10%,0)</f>
        <v>0</v>
      </c>
      <c r="O35" s="19">
        <f t="shared" ref="O35:O48" si="38">P35*1.12</f>
        <v>199.30333500000003</v>
      </c>
      <c r="P35" s="19">
        <f t="shared" ref="P35:P57" si="39">(D35+H35+N35)-J35-F35</f>
        <v>177.94940625000001</v>
      </c>
      <c r="Q35" s="19">
        <f>IF($C35="","",IFERROR($P35*VLOOKUP($C35,'Base Dados NCM'!$A:$G,2,FALSE),"NCM não encontrado"))</f>
        <v>236.72609513437502</v>
      </c>
      <c r="R35" s="26">
        <f>IF($C35="","",IFERROR($Q35*VLOOKUP($C35,'Base Dados NCM'!$A:$G,4,FALSE),"NCM não encontrado"))</f>
        <v>364.55818650693755</v>
      </c>
      <c r="S35" s="28">
        <f>IF($C35="","",IFERROR($P35*VLOOKUP($C35,'Base Dados NCM'!$A:$G,5,FALSE),"NCM não encontrado"))</f>
        <v>339.8833659375</v>
      </c>
      <c r="T35" s="27"/>
      <c r="U35" s="27"/>
    </row>
    <row r="36" spans="1:22">
      <c r="A36" s="2"/>
      <c r="B36" s="3"/>
      <c r="C36" s="2"/>
      <c r="D36" s="7"/>
      <c r="E36" s="16"/>
      <c r="F36" s="19">
        <f t="shared" si="32"/>
        <v>0</v>
      </c>
      <c r="G36" s="5">
        <v>0</v>
      </c>
      <c r="H36" s="14">
        <f t="shared" si="33"/>
        <v>0</v>
      </c>
      <c r="I36" s="14">
        <f t="shared" si="34"/>
        <v>0</v>
      </c>
      <c r="J36" s="14">
        <f t="shared" si="35"/>
        <v>0</v>
      </c>
      <c r="K36" s="20"/>
      <c r="L36" s="19">
        <f t="shared" si="36"/>
        <v>0</v>
      </c>
      <c r="M36" s="19" t="s">
        <v>28</v>
      </c>
      <c r="N36" s="19">
        <f t="shared" si="37"/>
        <v>0</v>
      </c>
      <c r="O36" s="19">
        <f t="shared" si="38"/>
        <v>0</v>
      </c>
      <c r="P36" s="19">
        <f t="shared" si="39"/>
        <v>0</v>
      </c>
      <c r="Q36" s="19" t="str">
        <f>IF($C36="","",IFERROR($P36*VLOOKUP($C36,'Base Dados NCM'!$A:$G,2,FALSE),"NCM não encontrado"))</f>
        <v/>
      </c>
      <c r="R36" s="26" t="str">
        <f>IF($C36="","",IFERROR($Q36*VLOOKUP($C36,'Base Dados NCM'!$A:$G,4,FALSE),"NCM não encontrado"))</f>
        <v/>
      </c>
      <c r="S36" s="28" t="str">
        <f>IF($C36="","",IFERROR($P36*VLOOKUP($C36,'Base Dados NCM'!$A:$G,5,FALSE),"NCM não encontrado"))</f>
        <v/>
      </c>
    </row>
    <row r="37" spans="1:22">
      <c r="A37" s="2"/>
      <c r="B37" s="3"/>
      <c r="C37" s="2"/>
      <c r="D37" s="7"/>
      <c r="E37" s="16"/>
      <c r="F37" s="19">
        <f t="shared" si="32"/>
        <v>0</v>
      </c>
      <c r="G37" s="5">
        <v>0</v>
      </c>
      <c r="H37" s="14">
        <f t="shared" si="33"/>
        <v>0</v>
      </c>
      <c r="I37" s="14">
        <f t="shared" si="34"/>
        <v>0</v>
      </c>
      <c r="J37" s="14">
        <f t="shared" si="35"/>
        <v>0</v>
      </c>
      <c r="K37" s="20"/>
      <c r="L37" s="19">
        <f t="shared" si="36"/>
        <v>0</v>
      </c>
      <c r="M37" s="19" t="s">
        <v>28</v>
      </c>
      <c r="N37" s="19">
        <f t="shared" ref="N37:N57" si="40">IF(M37="FOB",(D37+H37)*10%,0)</f>
        <v>0</v>
      </c>
      <c r="O37" s="19">
        <f t="shared" si="38"/>
        <v>0</v>
      </c>
      <c r="P37" s="19">
        <f t="shared" si="39"/>
        <v>0</v>
      </c>
      <c r="Q37" s="19" t="str">
        <f>IF($C37="","",IFERROR($P37*VLOOKUP($C37,'Base Dados NCM'!$A:$G,2,FALSE),"NCM não encontrado"))</f>
        <v/>
      </c>
      <c r="R37" s="26" t="str">
        <f>IF($C37="","",IFERROR($Q37*VLOOKUP($C37,'Base Dados NCM'!$A:$G,4,FALSE),"NCM não encontrado"))</f>
        <v/>
      </c>
      <c r="S37" s="28" t="str">
        <f>IF($C37="","",IFERROR($P37*VLOOKUP($C37,'Base Dados NCM'!$A:$G,5,FALSE),"NCM não encontrado"))</f>
        <v/>
      </c>
    </row>
    <row r="38" spans="1:22">
      <c r="A38" s="2"/>
      <c r="B38" s="3"/>
      <c r="C38" s="2"/>
      <c r="D38" s="7"/>
      <c r="E38" s="16"/>
      <c r="F38" s="19">
        <f t="shared" ref="F38:F57" si="41">D38*E38</f>
        <v>0</v>
      </c>
      <c r="G38" s="5">
        <v>0</v>
      </c>
      <c r="H38" s="14">
        <f t="shared" ref="H38:H57" si="42">D38*G38</f>
        <v>0</v>
      </c>
      <c r="I38" s="14">
        <f t="shared" ref="I38:I57" si="43">D38*(1-E38)</f>
        <v>0</v>
      </c>
      <c r="J38" s="14">
        <f t="shared" ref="J38:J57" si="44">(I38+H38)*9.25%</f>
        <v>0</v>
      </c>
      <c r="K38" s="20"/>
      <c r="L38" s="19">
        <f t="shared" ref="L38:L57" si="45">D38*K38</f>
        <v>0</v>
      </c>
      <c r="M38" s="19" t="s">
        <v>28</v>
      </c>
      <c r="N38" s="19">
        <f t="shared" si="40"/>
        <v>0</v>
      </c>
      <c r="O38" s="19">
        <f t="shared" si="38"/>
        <v>0</v>
      </c>
      <c r="P38" s="19">
        <f t="shared" si="39"/>
        <v>0</v>
      </c>
      <c r="Q38" s="19" t="str">
        <f>IF($C38="","",IFERROR($P38*VLOOKUP($C38,'Base Dados NCM'!$A:$G,2,FALSE),"NCM não encontrado"))</f>
        <v/>
      </c>
      <c r="R38" s="26" t="str">
        <f>IF($C38="","",IFERROR($Q38*VLOOKUP($C38,'Base Dados NCM'!$A:$G,4,FALSE),"NCM não encontrado"))</f>
        <v/>
      </c>
      <c r="S38" s="28" t="str">
        <f>IF($C38="","",IFERROR($P38*VLOOKUP($C38,'Base Dados NCM'!$A:$G,5,FALSE),"NCM não encontrado"))</f>
        <v/>
      </c>
      <c r="T38" s="27"/>
      <c r="U38" s="27"/>
    </row>
    <row r="39" spans="1:22">
      <c r="A39" s="2"/>
      <c r="B39" s="3"/>
      <c r="C39" s="2"/>
      <c r="D39" s="7"/>
      <c r="E39" s="16"/>
      <c r="F39" s="19">
        <f t="shared" si="41"/>
        <v>0</v>
      </c>
      <c r="G39" s="5">
        <v>0</v>
      </c>
      <c r="H39" s="14">
        <f t="shared" si="42"/>
        <v>0</v>
      </c>
      <c r="I39" s="14">
        <f t="shared" si="43"/>
        <v>0</v>
      </c>
      <c r="J39" s="14">
        <f t="shared" si="44"/>
        <v>0</v>
      </c>
      <c r="K39" s="20"/>
      <c r="L39" s="19">
        <f t="shared" si="45"/>
        <v>0</v>
      </c>
      <c r="M39" s="19" t="s">
        <v>28</v>
      </c>
      <c r="N39" s="19">
        <f t="shared" si="40"/>
        <v>0</v>
      </c>
      <c r="O39" s="19">
        <f t="shared" si="38"/>
        <v>0</v>
      </c>
      <c r="P39" s="19">
        <f t="shared" si="39"/>
        <v>0</v>
      </c>
      <c r="Q39" s="19" t="str">
        <f>IF($C39="","",IFERROR($P39*VLOOKUP($C39,'Base Dados NCM'!$A:$G,2,FALSE),"NCM não encontrado"))</f>
        <v/>
      </c>
      <c r="R39" s="26" t="str">
        <f>IF($C39="","",IFERROR($Q39*VLOOKUP($C39,'Base Dados NCM'!$A:$G,4,FALSE),"NCM não encontrado"))</f>
        <v/>
      </c>
      <c r="S39" s="28" t="str">
        <f>IF($C39="","",IFERROR($P39*VLOOKUP($C39,'Base Dados NCM'!$A:$G,5,FALSE),"NCM não encontrado"))</f>
        <v/>
      </c>
      <c r="T39" s="27"/>
      <c r="U39" s="27"/>
    </row>
    <row r="40" spans="1:22">
      <c r="A40" s="2"/>
      <c r="B40" s="3"/>
      <c r="C40" s="2"/>
      <c r="D40" s="7"/>
      <c r="E40" s="29"/>
      <c r="F40" s="19">
        <f t="shared" si="41"/>
        <v>0</v>
      </c>
      <c r="G40" s="5"/>
      <c r="H40" s="14">
        <f t="shared" si="42"/>
        <v>0</v>
      </c>
      <c r="I40" s="14">
        <f t="shared" si="43"/>
        <v>0</v>
      </c>
      <c r="J40" s="14">
        <f t="shared" si="44"/>
        <v>0</v>
      </c>
      <c r="K40" s="20"/>
      <c r="L40" s="19">
        <f t="shared" si="45"/>
        <v>0</v>
      </c>
      <c r="M40" s="19" t="s">
        <v>28</v>
      </c>
      <c r="N40" s="19">
        <f t="shared" si="40"/>
        <v>0</v>
      </c>
      <c r="O40" s="19">
        <f t="shared" si="38"/>
        <v>0</v>
      </c>
      <c r="P40" s="19">
        <f t="shared" si="39"/>
        <v>0</v>
      </c>
      <c r="Q40" s="19" t="str">
        <f>IF($C40="","",IFERROR($P40*VLOOKUP($C40,'Base Dados NCM'!$A:$G,2,FALSE),"NCM não encontrado"))</f>
        <v/>
      </c>
      <c r="R40" s="26" t="str">
        <f>IF($C40="","",IFERROR($Q40*VLOOKUP($C40,'Base Dados NCM'!$A:$G,4,FALSE),"NCM não encontrado"))</f>
        <v/>
      </c>
      <c r="S40" s="28" t="str">
        <f>IF($C40="","",IFERROR($P40*VLOOKUP($C40,'Base Dados NCM'!$A:$G,5,FALSE),"NCM não encontrado"))</f>
        <v/>
      </c>
      <c r="T40" s="27"/>
      <c r="U40" s="27"/>
    </row>
    <row r="41" spans="1:22">
      <c r="A41" s="2"/>
      <c r="B41" s="3"/>
      <c r="C41" s="2"/>
      <c r="D41" s="7"/>
      <c r="E41" s="29"/>
      <c r="F41" s="19">
        <f t="shared" si="41"/>
        <v>0</v>
      </c>
      <c r="G41" s="5"/>
      <c r="H41" s="14">
        <f t="shared" si="42"/>
        <v>0</v>
      </c>
      <c r="I41" s="14">
        <f t="shared" si="43"/>
        <v>0</v>
      </c>
      <c r="J41" s="14">
        <f t="shared" si="44"/>
        <v>0</v>
      </c>
      <c r="K41" s="20"/>
      <c r="L41" s="19">
        <f t="shared" si="45"/>
        <v>0</v>
      </c>
      <c r="M41" s="19" t="s">
        <v>28</v>
      </c>
      <c r="N41" s="19">
        <f t="shared" si="40"/>
        <v>0</v>
      </c>
      <c r="O41" s="19">
        <f t="shared" si="38"/>
        <v>0</v>
      </c>
      <c r="P41" s="19">
        <f t="shared" si="39"/>
        <v>0</v>
      </c>
      <c r="Q41" s="19" t="str">
        <f>IF($C41="","",IFERROR($P41*VLOOKUP($C41,'Base Dados NCM'!$A:$G,2,FALSE),"NCM não encontrado"))</f>
        <v/>
      </c>
      <c r="R41" s="26" t="str">
        <f>IF($C41="","",IFERROR($Q41*VLOOKUP($C41,'Base Dados NCM'!$A:$G,4,FALSE),"NCM não encontrado"))</f>
        <v/>
      </c>
      <c r="S41" s="28" t="str">
        <f>IF($C41="","",IFERROR($P41*VLOOKUP($C41,'Base Dados NCM'!$A:$G,5,FALSE),"NCM não encontrado"))</f>
        <v/>
      </c>
      <c r="T41" s="27"/>
      <c r="U41" s="27"/>
    </row>
    <row r="42" spans="1:22">
      <c r="A42" s="2"/>
      <c r="B42" s="3"/>
      <c r="C42" s="2"/>
      <c r="D42" s="7"/>
      <c r="E42" s="29"/>
      <c r="F42" s="19">
        <f t="shared" si="41"/>
        <v>0</v>
      </c>
      <c r="G42" s="5"/>
      <c r="H42" s="14">
        <f t="shared" si="42"/>
        <v>0</v>
      </c>
      <c r="I42" s="14">
        <f t="shared" si="43"/>
        <v>0</v>
      </c>
      <c r="J42" s="14">
        <f t="shared" si="44"/>
        <v>0</v>
      </c>
      <c r="K42" s="20"/>
      <c r="L42" s="19">
        <f t="shared" si="45"/>
        <v>0</v>
      </c>
      <c r="M42" s="19" t="s">
        <v>28</v>
      </c>
      <c r="N42" s="19">
        <f t="shared" si="40"/>
        <v>0</v>
      </c>
      <c r="O42" s="19">
        <f t="shared" si="38"/>
        <v>0</v>
      </c>
      <c r="P42" s="19">
        <f t="shared" si="39"/>
        <v>0</v>
      </c>
      <c r="Q42" s="19" t="str">
        <f>IF($C42="","",IFERROR($P42*VLOOKUP($C42,'Base Dados NCM'!$A:$G,2,FALSE),"NCM não encontrado"))</f>
        <v/>
      </c>
      <c r="R42" s="26" t="str">
        <f>IF($C42="","",IFERROR($Q42*VLOOKUP($C42,'Base Dados NCM'!$A:$G,4,FALSE),"NCM não encontrado"))</f>
        <v/>
      </c>
      <c r="S42" s="28" t="str">
        <f>IF($C42="","",IFERROR($P42*VLOOKUP($C42,'Base Dados NCM'!$A:$G,5,FALSE),"NCM não encontrado"))</f>
        <v/>
      </c>
      <c r="T42" s="27"/>
      <c r="U42" s="27"/>
    </row>
    <row r="43" spans="1:22">
      <c r="A43" s="2"/>
      <c r="B43" s="3"/>
      <c r="C43" s="2"/>
      <c r="D43" s="7"/>
      <c r="E43" s="29"/>
      <c r="F43" s="19">
        <f t="shared" si="41"/>
        <v>0</v>
      </c>
      <c r="G43" s="5"/>
      <c r="H43" s="14">
        <f t="shared" si="42"/>
        <v>0</v>
      </c>
      <c r="I43" s="14">
        <f t="shared" si="43"/>
        <v>0</v>
      </c>
      <c r="J43" s="14">
        <f t="shared" si="44"/>
        <v>0</v>
      </c>
      <c r="K43" s="20"/>
      <c r="L43" s="19">
        <f t="shared" si="45"/>
        <v>0</v>
      </c>
      <c r="M43" s="19" t="s">
        <v>28</v>
      </c>
      <c r="N43" s="19">
        <f t="shared" si="40"/>
        <v>0</v>
      </c>
      <c r="O43" s="19">
        <f t="shared" si="38"/>
        <v>0</v>
      </c>
      <c r="P43" s="19">
        <f t="shared" si="39"/>
        <v>0</v>
      </c>
      <c r="Q43" s="19" t="str">
        <f>IF($C43="","",IFERROR($P43*VLOOKUP($C43,'Base Dados NCM'!$A:$G,2,FALSE),"NCM não encontrado"))</f>
        <v/>
      </c>
      <c r="R43" s="26" t="str">
        <f>IF($C43="","",IFERROR($Q43*VLOOKUP($C43,'Base Dados NCM'!$A:$G,4,FALSE),"NCM não encontrado"))</f>
        <v/>
      </c>
      <c r="S43" s="28" t="str">
        <f>IF($C43="","",IFERROR($P43*VLOOKUP($C43,'Base Dados NCM'!$A:$G,5,FALSE),"NCM não encontrado"))</f>
        <v/>
      </c>
      <c r="T43" s="27"/>
      <c r="U43" s="27"/>
    </row>
    <row r="44" spans="1:22">
      <c r="A44" s="2"/>
      <c r="B44" s="3"/>
      <c r="C44" s="2"/>
      <c r="D44" s="7"/>
      <c r="E44" s="29"/>
      <c r="F44" s="19">
        <f t="shared" si="41"/>
        <v>0</v>
      </c>
      <c r="G44" s="5"/>
      <c r="H44" s="14">
        <f t="shared" si="42"/>
        <v>0</v>
      </c>
      <c r="I44" s="14">
        <f t="shared" si="43"/>
        <v>0</v>
      </c>
      <c r="J44" s="14">
        <f t="shared" si="44"/>
        <v>0</v>
      </c>
      <c r="K44" s="20"/>
      <c r="L44" s="19">
        <f t="shared" si="45"/>
        <v>0</v>
      </c>
      <c r="M44" s="19" t="s">
        <v>28</v>
      </c>
      <c r="N44" s="19">
        <f t="shared" si="40"/>
        <v>0</v>
      </c>
      <c r="O44" s="19">
        <f t="shared" si="38"/>
        <v>0</v>
      </c>
      <c r="P44" s="19">
        <f t="shared" si="39"/>
        <v>0</v>
      </c>
      <c r="Q44" s="19" t="str">
        <f>IF($C44="","",IFERROR($P44*VLOOKUP($C44,'Base Dados NCM'!$A:$G,2,FALSE),"NCM não encontrado"))</f>
        <v/>
      </c>
      <c r="R44" s="26" t="str">
        <f>IF($C44="","",IFERROR($Q44*VLOOKUP($C44,'Base Dados NCM'!$A:$G,4,FALSE),"NCM não encontrado"))</f>
        <v/>
      </c>
      <c r="S44" s="28" t="str">
        <f>IF($C44="","",IFERROR($P44*VLOOKUP($C44,'Base Dados NCM'!$A:$G,5,FALSE),"NCM não encontrado"))</f>
        <v/>
      </c>
      <c r="T44" s="27"/>
      <c r="U44" s="27"/>
    </row>
    <row r="45" spans="1:22">
      <c r="A45" s="2"/>
      <c r="B45" s="3"/>
      <c r="C45" s="2"/>
      <c r="D45" s="7"/>
      <c r="E45" s="29"/>
      <c r="F45" s="19">
        <f t="shared" si="41"/>
        <v>0</v>
      </c>
      <c r="G45" s="5"/>
      <c r="H45" s="14">
        <f t="shared" si="42"/>
        <v>0</v>
      </c>
      <c r="I45" s="14">
        <f t="shared" si="43"/>
        <v>0</v>
      </c>
      <c r="J45" s="14">
        <f t="shared" si="44"/>
        <v>0</v>
      </c>
      <c r="K45" s="20"/>
      <c r="L45" s="19">
        <f t="shared" si="45"/>
        <v>0</v>
      </c>
      <c r="M45" s="19" t="s">
        <v>28</v>
      </c>
      <c r="N45" s="19">
        <f t="shared" si="40"/>
        <v>0</v>
      </c>
      <c r="O45" s="19">
        <f t="shared" si="38"/>
        <v>0</v>
      </c>
      <c r="P45" s="19">
        <f t="shared" si="39"/>
        <v>0</v>
      </c>
      <c r="Q45" s="19" t="str">
        <f>IF($C45="","",IFERROR($P45*VLOOKUP($C45,'Base Dados NCM'!$A:$G,2,FALSE),"NCM não encontrado"))</f>
        <v/>
      </c>
      <c r="R45" s="26" t="str">
        <f>IF($C45="","",IFERROR($Q45*VLOOKUP($C45,'Base Dados NCM'!$A:$G,4,FALSE),"NCM não encontrado"))</f>
        <v/>
      </c>
      <c r="S45" s="28" t="str">
        <f>IF($C45="","",IFERROR($P45*VLOOKUP($C45,'Base Dados NCM'!$A:$G,5,FALSE),"NCM não encontrado"))</f>
        <v/>
      </c>
      <c r="T45" s="27"/>
      <c r="U45" s="27"/>
    </row>
    <row r="46" spans="1:22">
      <c r="A46" s="2"/>
      <c r="B46" s="3"/>
      <c r="C46" s="2"/>
      <c r="D46" s="7"/>
      <c r="E46" s="29"/>
      <c r="F46" s="19">
        <f t="shared" si="41"/>
        <v>0</v>
      </c>
      <c r="G46" s="5"/>
      <c r="H46" s="14">
        <f t="shared" si="42"/>
        <v>0</v>
      </c>
      <c r="I46" s="14">
        <f t="shared" si="43"/>
        <v>0</v>
      </c>
      <c r="J46" s="14">
        <f t="shared" si="44"/>
        <v>0</v>
      </c>
      <c r="K46" s="20"/>
      <c r="L46" s="19">
        <f t="shared" si="45"/>
        <v>0</v>
      </c>
      <c r="M46" s="19" t="s">
        <v>28</v>
      </c>
      <c r="N46" s="19">
        <f t="shared" si="40"/>
        <v>0</v>
      </c>
      <c r="O46" s="19">
        <f t="shared" si="38"/>
        <v>0</v>
      </c>
      <c r="P46" s="19">
        <f>(D46+H46+N46)-J46-F46</f>
        <v>0</v>
      </c>
      <c r="Q46" s="19" t="str">
        <f>IF($C46="","",IFERROR($P46*VLOOKUP($C46,'Base Dados NCM'!$A:$G,2,FALSE),"NCM não encontrado"))</f>
        <v/>
      </c>
      <c r="R46" s="26" t="str">
        <f>IF($C46="","",IFERROR($Q46*VLOOKUP($C46,'Base Dados NCM'!$A:$G,4,FALSE),"NCM não encontrado"))</f>
        <v/>
      </c>
      <c r="S46" s="28" t="str">
        <f>IF($C46="","",IFERROR($P46*VLOOKUP($C46,'Base Dados NCM'!$A:$G,5,FALSE),"NCM não encontrado"))</f>
        <v/>
      </c>
      <c r="T46" s="27"/>
      <c r="U46" s="27"/>
    </row>
    <row r="47" spans="1:22">
      <c r="A47" s="2"/>
      <c r="B47" s="3"/>
      <c r="C47" s="2"/>
      <c r="D47" s="7"/>
      <c r="E47" s="29"/>
      <c r="F47" s="19">
        <f t="shared" si="41"/>
        <v>0</v>
      </c>
      <c r="G47" s="5"/>
      <c r="H47" s="14">
        <f t="shared" si="42"/>
        <v>0</v>
      </c>
      <c r="I47" s="14">
        <f t="shared" si="43"/>
        <v>0</v>
      </c>
      <c r="J47" s="14">
        <f t="shared" si="44"/>
        <v>0</v>
      </c>
      <c r="K47" s="20"/>
      <c r="L47" s="19">
        <f t="shared" si="45"/>
        <v>0</v>
      </c>
      <c r="M47" s="19" t="s">
        <v>28</v>
      </c>
      <c r="N47" s="19">
        <f t="shared" si="40"/>
        <v>0</v>
      </c>
      <c r="O47" s="19">
        <f t="shared" si="38"/>
        <v>0</v>
      </c>
      <c r="P47" s="19">
        <f t="shared" si="39"/>
        <v>0</v>
      </c>
      <c r="Q47" s="19" t="str">
        <f>IF($C47="","",IFERROR($P47*VLOOKUP($C47,'Base Dados NCM'!$A:$G,2,FALSE),"NCM não encontrado"))</f>
        <v/>
      </c>
      <c r="R47" s="26" t="str">
        <f>IF($C47="","",IFERROR($Q47*VLOOKUP($C47,'Base Dados NCM'!$A:$G,4,FALSE),"NCM não encontrado"))</f>
        <v/>
      </c>
      <c r="S47" s="28" t="str">
        <f>IF($C47="","",IFERROR($P47*VLOOKUP($C47,'Base Dados NCM'!$A:$G,5,FALSE),"NCM não encontrado"))</f>
        <v/>
      </c>
      <c r="T47" s="27"/>
      <c r="U47" s="27"/>
    </row>
    <row r="48" spans="1:22">
      <c r="A48" s="2"/>
      <c r="B48" s="3"/>
      <c r="C48" s="2"/>
      <c r="D48" s="7"/>
      <c r="E48" s="29"/>
      <c r="F48" s="19">
        <f t="shared" si="41"/>
        <v>0</v>
      </c>
      <c r="G48" s="5"/>
      <c r="H48" s="14">
        <f t="shared" si="42"/>
        <v>0</v>
      </c>
      <c r="I48" s="14">
        <f t="shared" si="43"/>
        <v>0</v>
      </c>
      <c r="J48" s="14">
        <f t="shared" si="44"/>
        <v>0</v>
      </c>
      <c r="K48" s="20"/>
      <c r="L48" s="19">
        <f t="shared" si="45"/>
        <v>0</v>
      </c>
      <c r="M48" s="19" t="s">
        <v>28</v>
      </c>
      <c r="N48" s="19">
        <f t="shared" si="40"/>
        <v>0</v>
      </c>
      <c r="O48" s="19">
        <f t="shared" si="38"/>
        <v>0</v>
      </c>
      <c r="P48" s="19">
        <f t="shared" si="39"/>
        <v>0</v>
      </c>
      <c r="Q48" s="19" t="str">
        <f>IF($C48="","",IFERROR($P48*VLOOKUP($C48,'Base Dados NCM'!$A:$G,2,FALSE),"NCM não encontrado"))</f>
        <v/>
      </c>
      <c r="R48" s="26" t="str">
        <f>IF($C48="","",IFERROR($Q48*VLOOKUP($C48,'Base Dados NCM'!$A:$G,4,FALSE),"NCM não encontrado"))</f>
        <v/>
      </c>
      <c r="S48" s="28" t="str">
        <f>IF($C48="","",IFERROR($P48*VLOOKUP($C48,'Base Dados NCM'!$A:$G,5,FALSE),"NCM não encontrado"))</f>
        <v/>
      </c>
      <c r="T48" s="27"/>
      <c r="U48" s="27"/>
    </row>
    <row r="49" spans="1:21">
      <c r="A49" s="2"/>
      <c r="B49" s="3"/>
      <c r="C49" s="2"/>
      <c r="D49" s="7"/>
      <c r="E49" s="18"/>
      <c r="F49" s="19">
        <f t="shared" si="41"/>
        <v>0</v>
      </c>
      <c r="G49" s="5"/>
      <c r="H49" s="14">
        <f t="shared" si="42"/>
        <v>0</v>
      </c>
      <c r="I49" s="14">
        <f t="shared" si="43"/>
        <v>0</v>
      </c>
      <c r="J49" s="14">
        <f t="shared" si="44"/>
        <v>0</v>
      </c>
      <c r="K49" s="20"/>
      <c r="L49" s="19">
        <f t="shared" si="45"/>
        <v>0</v>
      </c>
      <c r="M49" s="19"/>
      <c r="N49" s="19">
        <f t="shared" si="40"/>
        <v>0</v>
      </c>
      <c r="O49" s="19">
        <v>0</v>
      </c>
      <c r="P49" s="19">
        <f t="shared" si="39"/>
        <v>0</v>
      </c>
      <c r="Q49" s="19" t="str">
        <f>IF($C49="","",IFERROR($P49*VLOOKUP($C49,'Base Dados NCM'!$A:$G,2,FALSE),"NCM não encontrado"))</f>
        <v/>
      </c>
      <c r="R49" s="26" t="str">
        <f>IF($C49="","",IFERROR($Q49*VLOOKUP($C49,'Base Dados NCM'!$A:$G,4,FALSE),"NCM não encontrado"))</f>
        <v/>
      </c>
      <c r="S49" s="28" t="str">
        <f>IF($C49="","",IFERROR($P49*VLOOKUP($C49,'Base Dados NCM'!$A:$G,5,FALSE),"NCM não encontrado"))</f>
        <v/>
      </c>
      <c r="T49" s="27"/>
      <c r="U49" s="27"/>
    </row>
    <row r="50" spans="1:21">
      <c r="A50" s="2"/>
      <c r="B50" s="3"/>
      <c r="C50" s="2"/>
      <c r="D50" s="7"/>
      <c r="E50" s="20"/>
      <c r="F50" s="19">
        <f t="shared" si="41"/>
        <v>0</v>
      </c>
      <c r="G50" s="5"/>
      <c r="H50" s="14">
        <f t="shared" si="42"/>
        <v>0</v>
      </c>
      <c r="I50" s="14">
        <f t="shared" si="43"/>
        <v>0</v>
      </c>
      <c r="J50" s="14">
        <f t="shared" si="44"/>
        <v>0</v>
      </c>
      <c r="K50" s="20"/>
      <c r="L50" s="19">
        <f t="shared" si="45"/>
        <v>0</v>
      </c>
      <c r="M50" s="19"/>
      <c r="N50" s="19">
        <f t="shared" si="40"/>
        <v>0</v>
      </c>
      <c r="O50" s="19">
        <v>0</v>
      </c>
      <c r="P50" s="19">
        <f>(D50+H50+N50)-J50-F50</f>
        <v>0</v>
      </c>
      <c r="Q50" s="19" t="str">
        <f>IF($C50="","",IFERROR($P50*VLOOKUP($C50,'Base Dados NCM'!$A:$G,2,FALSE),"NCM não encontrado"))</f>
        <v/>
      </c>
      <c r="R50" s="26" t="str">
        <f>IF($C50="","",IFERROR($Q50*VLOOKUP($C50,'Base Dados NCM'!$A:$G,4,FALSE),"NCM não encontrado"))</f>
        <v/>
      </c>
      <c r="S50" s="28" t="str">
        <f>IF($C50="","",IFERROR($P50*VLOOKUP($C50,'Base Dados NCM'!$A:$G,5,FALSE),"NCM não encontrado"))</f>
        <v/>
      </c>
      <c r="T50" s="27"/>
      <c r="U50" s="27"/>
    </row>
    <row r="51" spans="1:21">
      <c r="A51" s="2"/>
      <c r="B51" s="3"/>
      <c r="C51" s="2"/>
      <c r="D51" s="7"/>
      <c r="E51" s="20"/>
      <c r="F51" s="19">
        <f t="shared" ref="F51" si="46">D51*E51</f>
        <v>0</v>
      </c>
      <c r="G51" s="5"/>
      <c r="H51" s="14">
        <f t="shared" ref="H51" si="47">D51*G51</f>
        <v>0</v>
      </c>
      <c r="I51" s="14">
        <f t="shared" ref="I51" si="48">D51*(1-E51)</f>
        <v>0</v>
      </c>
      <c r="J51" s="14">
        <f t="shared" ref="J51" si="49">(I51+H51)*9.25%</f>
        <v>0</v>
      </c>
      <c r="K51" s="20"/>
      <c r="L51" s="19">
        <f t="shared" ref="L51" si="50">D51*K51</f>
        <v>0</v>
      </c>
      <c r="M51" s="19"/>
      <c r="N51" s="19">
        <f t="shared" si="40"/>
        <v>0</v>
      </c>
      <c r="O51" s="19">
        <v>0</v>
      </c>
      <c r="P51" s="19">
        <f>(D51+H51+N51)-J51-F51</f>
        <v>0</v>
      </c>
      <c r="Q51" s="19" t="str">
        <f>IF($C51="","",IFERROR($P51*VLOOKUP($C51,'Base Dados NCM'!$A:$G,2,FALSE),"NCM não encontrado"))</f>
        <v/>
      </c>
      <c r="R51" s="26" t="str">
        <f>IF($C51="","",IFERROR($Q51*VLOOKUP($C51,'Base Dados NCM'!$A:$G,4,FALSE),"NCM não encontrado"))</f>
        <v/>
      </c>
      <c r="S51" s="28" t="str">
        <f>IF($C51="","",IFERROR($P51*VLOOKUP($C51,'Base Dados NCM'!$A:$G,5,FALSE),"NCM não encontrado"))</f>
        <v/>
      </c>
      <c r="T51" s="27"/>
      <c r="U51" s="27"/>
    </row>
    <row r="52" spans="1:21">
      <c r="A52" s="2"/>
      <c r="B52" s="3"/>
      <c r="C52" s="2"/>
      <c r="D52" s="7"/>
      <c r="E52" s="20"/>
      <c r="F52" s="19">
        <f t="shared" si="41"/>
        <v>0</v>
      </c>
      <c r="G52" s="5"/>
      <c r="H52" s="14">
        <f t="shared" si="42"/>
        <v>0</v>
      </c>
      <c r="I52" s="14">
        <f t="shared" si="43"/>
        <v>0</v>
      </c>
      <c r="J52" s="14">
        <f t="shared" si="44"/>
        <v>0</v>
      </c>
      <c r="K52" s="20"/>
      <c r="L52" s="19">
        <f t="shared" si="45"/>
        <v>0</v>
      </c>
      <c r="M52" s="19"/>
      <c r="N52" s="19">
        <f t="shared" si="40"/>
        <v>0</v>
      </c>
      <c r="O52" s="19">
        <v>0</v>
      </c>
      <c r="P52" s="19">
        <f t="shared" si="39"/>
        <v>0</v>
      </c>
      <c r="Q52" s="19" t="str">
        <f>IF($C52="","",IFERROR($P52*VLOOKUP($C52,'Base Dados NCM'!$A:$G,2,FALSE),"NCM não encontrado"))</f>
        <v/>
      </c>
      <c r="R52" s="26" t="str">
        <f>IF($C52="","",IFERROR($Q52*VLOOKUP($C52,'Base Dados NCM'!$A:$G,4,FALSE),"NCM não encontrado"))</f>
        <v/>
      </c>
      <c r="S52" s="28" t="str">
        <f>IF($C52="","",IFERROR($P52*VLOOKUP($C52,'Base Dados NCM'!$A:$G,5,FALSE),"NCM não encontrado"))</f>
        <v/>
      </c>
      <c r="T52" s="27"/>
      <c r="U52" s="27"/>
    </row>
    <row r="53" spans="1:21">
      <c r="A53" s="2"/>
      <c r="B53" s="3"/>
      <c r="C53" s="2"/>
      <c r="D53" s="7"/>
      <c r="E53" s="18"/>
      <c r="F53" s="19">
        <f t="shared" si="41"/>
        <v>0</v>
      </c>
      <c r="G53" s="5"/>
      <c r="H53" s="14">
        <f t="shared" si="42"/>
        <v>0</v>
      </c>
      <c r="I53" s="14">
        <f t="shared" si="43"/>
        <v>0</v>
      </c>
      <c r="J53" s="14">
        <f t="shared" si="44"/>
        <v>0</v>
      </c>
      <c r="K53" s="20"/>
      <c r="L53" s="19">
        <f t="shared" si="45"/>
        <v>0</v>
      </c>
      <c r="M53" s="19"/>
      <c r="N53" s="19">
        <f t="shared" si="40"/>
        <v>0</v>
      </c>
      <c r="O53" s="19">
        <v>0</v>
      </c>
      <c r="P53" s="19">
        <f t="shared" si="39"/>
        <v>0</v>
      </c>
      <c r="Q53" s="19" t="str">
        <f>IF($C53="","",IFERROR($P53*VLOOKUP($C53,'Base Dados NCM'!$A:$G,2,FALSE),"NCM não encontrado"))</f>
        <v/>
      </c>
      <c r="R53" s="26" t="str">
        <f>IF($C53="","",IFERROR($Q53*VLOOKUP($C53,'Base Dados NCM'!$A:$G,4,FALSE),"NCM não encontrado"))</f>
        <v/>
      </c>
      <c r="S53" s="28" t="str">
        <f>IF($C53="","",IFERROR($P53*VLOOKUP($C53,'Base Dados NCM'!$A:$G,5,FALSE),"NCM não encontrado"))</f>
        <v/>
      </c>
      <c r="T53" s="27"/>
      <c r="U53" s="27"/>
    </row>
    <row r="54" spans="1:21">
      <c r="A54" s="2"/>
      <c r="B54" s="3"/>
      <c r="C54" s="2"/>
      <c r="D54" s="7"/>
      <c r="E54" s="18"/>
      <c r="F54" s="19">
        <f t="shared" si="41"/>
        <v>0</v>
      </c>
      <c r="G54" s="5"/>
      <c r="H54" s="14">
        <f t="shared" si="42"/>
        <v>0</v>
      </c>
      <c r="I54" s="14">
        <f t="shared" si="43"/>
        <v>0</v>
      </c>
      <c r="J54" s="14">
        <f t="shared" si="44"/>
        <v>0</v>
      </c>
      <c r="K54" s="20"/>
      <c r="L54" s="19">
        <f t="shared" si="45"/>
        <v>0</v>
      </c>
      <c r="M54" s="19"/>
      <c r="N54" s="19">
        <f t="shared" si="40"/>
        <v>0</v>
      </c>
      <c r="O54" s="19">
        <v>0</v>
      </c>
      <c r="P54" s="19">
        <f t="shared" si="39"/>
        <v>0</v>
      </c>
      <c r="Q54" s="19" t="str">
        <f>IF($C54="","",IFERROR($P54*VLOOKUP($C54,'Base Dados NCM'!$A:$G,2,FALSE),"NCM não encontrado"))</f>
        <v/>
      </c>
      <c r="R54" s="26" t="str">
        <f>IF($C54="","",IFERROR($Q54*VLOOKUP($C54,'Base Dados NCM'!$A:$G,4,FALSE),"NCM não encontrado"))</f>
        <v/>
      </c>
      <c r="S54" s="28" t="str">
        <f>IF($C54="","",IFERROR($P54*VLOOKUP($C54,'Base Dados NCM'!$A:$G,5,FALSE),"NCM não encontrado"))</f>
        <v/>
      </c>
      <c r="T54" s="27"/>
      <c r="U54" s="27"/>
    </row>
    <row r="55" spans="1:21">
      <c r="A55" s="2"/>
      <c r="B55" s="3"/>
      <c r="C55" s="2"/>
      <c r="D55" s="7"/>
      <c r="E55" s="18"/>
      <c r="F55" s="19">
        <f t="shared" si="41"/>
        <v>0</v>
      </c>
      <c r="G55" s="5"/>
      <c r="H55" s="14">
        <f t="shared" si="42"/>
        <v>0</v>
      </c>
      <c r="I55" s="14">
        <f t="shared" si="43"/>
        <v>0</v>
      </c>
      <c r="J55" s="14">
        <f t="shared" si="44"/>
        <v>0</v>
      </c>
      <c r="K55" s="20"/>
      <c r="L55" s="19">
        <f t="shared" si="45"/>
        <v>0</v>
      </c>
      <c r="M55" s="19"/>
      <c r="N55" s="19">
        <f t="shared" si="40"/>
        <v>0</v>
      </c>
      <c r="O55" s="19">
        <v>0</v>
      </c>
      <c r="P55" s="19">
        <f t="shared" si="39"/>
        <v>0</v>
      </c>
      <c r="Q55" s="19" t="str">
        <f>IF($C55="","",IFERROR($P55*VLOOKUP($C55,'Base Dados NCM'!$A:$G,2,FALSE),"NCM não encontrado"))</f>
        <v/>
      </c>
      <c r="R55" s="26" t="str">
        <f>IF($C55="","",IFERROR($Q55*VLOOKUP($C55,'Base Dados NCM'!$A:$G,4,FALSE),"NCM não encontrado"))</f>
        <v/>
      </c>
      <c r="S55" s="28" t="str">
        <f>IF($C55="","",IFERROR($P55*VLOOKUP($C55,'Base Dados NCM'!$A:$G,5,FALSE),"NCM não encontrado"))</f>
        <v/>
      </c>
      <c r="T55" s="27"/>
      <c r="U55" s="27"/>
    </row>
    <row r="56" spans="1:21">
      <c r="A56" s="2"/>
      <c r="B56" s="3"/>
      <c r="C56" s="2"/>
      <c r="D56" s="7"/>
      <c r="E56" s="18"/>
      <c r="F56" s="19">
        <f t="shared" si="41"/>
        <v>0</v>
      </c>
      <c r="G56" s="5"/>
      <c r="H56" s="14">
        <f t="shared" si="42"/>
        <v>0</v>
      </c>
      <c r="I56" s="14">
        <f t="shared" si="43"/>
        <v>0</v>
      </c>
      <c r="J56" s="14">
        <f t="shared" si="44"/>
        <v>0</v>
      </c>
      <c r="K56" s="20"/>
      <c r="L56" s="19">
        <f t="shared" si="45"/>
        <v>0</v>
      </c>
      <c r="M56" s="19"/>
      <c r="N56" s="19">
        <f t="shared" si="40"/>
        <v>0</v>
      </c>
      <c r="O56" s="19">
        <v>0</v>
      </c>
      <c r="P56" s="19">
        <f t="shared" si="39"/>
        <v>0</v>
      </c>
      <c r="Q56" s="19" t="str">
        <f>IF($C56="","",IFERROR($P56*VLOOKUP($C56,'Base Dados NCM'!$A:$G,2,FALSE),"NCM não encontrado"))</f>
        <v/>
      </c>
      <c r="R56" s="26" t="str">
        <f>IF($C56="","",IFERROR($Q56*VLOOKUP($C56,'Base Dados NCM'!$A:$G,4,FALSE),"NCM não encontrado"))</f>
        <v/>
      </c>
      <c r="S56" s="28" t="str">
        <f>IF($C56="","",IFERROR($P56*VLOOKUP($C56,'Base Dados NCM'!$A:$G,5,FALSE),"NCM não encontrado"))</f>
        <v/>
      </c>
      <c r="T56" s="27"/>
      <c r="U56" s="27"/>
    </row>
    <row r="57" spans="1:21">
      <c r="A57" s="2"/>
      <c r="B57" s="3"/>
      <c r="C57" s="2"/>
      <c r="D57" s="7"/>
      <c r="E57" s="18"/>
      <c r="F57" s="19">
        <f t="shared" si="41"/>
        <v>0</v>
      </c>
      <c r="G57" s="5"/>
      <c r="H57" s="14">
        <f t="shared" si="42"/>
        <v>0</v>
      </c>
      <c r="I57" s="14">
        <f t="shared" si="43"/>
        <v>0</v>
      </c>
      <c r="J57" s="14">
        <f t="shared" si="44"/>
        <v>0</v>
      </c>
      <c r="K57" s="20"/>
      <c r="L57" s="19">
        <f t="shared" si="45"/>
        <v>0</v>
      </c>
      <c r="M57" s="19"/>
      <c r="N57" s="19">
        <f t="shared" si="40"/>
        <v>0</v>
      </c>
      <c r="O57" s="19">
        <v>0</v>
      </c>
      <c r="P57" s="19">
        <f t="shared" si="39"/>
        <v>0</v>
      </c>
      <c r="Q57" s="19" t="str">
        <f>IF($C57="","",IFERROR($P57*VLOOKUP($C57,'Base Dados NCM'!$A:$G,2,FALSE),"NCM não encontrado"))</f>
        <v/>
      </c>
      <c r="R57" s="26" t="str">
        <f>IF($C57="","",IFERROR($Q57*VLOOKUP($C57,'Base Dados NCM'!$A:$G,4,FALSE),"NCM não encontrado"))</f>
        <v/>
      </c>
      <c r="S57" s="28" t="str">
        <f>IF($C57="","",IFERROR($P57*VLOOKUP($C57,'Base Dados NCM'!$A:$G,5,FALSE),"NCM não encontrado"))</f>
        <v/>
      </c>
      <c r="T57" s="27"/>
      <c r="U57" s="27"/>
    </row>
    <row r="58" spans="1:21">
      <c r="Q58" t="str">
        <f>IF($C58="","",IFERROR($P58*VLOOKUP($C58,'Base Dados NCM'!$A:$B,2,FALSE),"NCM não encontrado"))</f>
        <v/>
      </c>
      <c r="R58" t="str">
        <f>IF($C58="","",IFERROR($P58*VLOOKUP($C58,'Base Dados NCM'!$A:$C,3,FALSE),"NCM não encontrado"))</f>
        <v/>
      </c>
      <c r="S58"/>
      <c r="T58" t="str">
        <f>IF($C58="","",IFERROR($P58*VLOOKUP($C58,'Base Dados NCM'!$A:$D,4,FALSE),"NCM não encontrado"))</f>
        <v/>
      </c>
      <c r="U58"/>
    </row>
    <row r="59" spans="1:21">
      <c r="Q59" t="str">
        <f>IF($C59="","",IFERROR($P59*VLOOKUP($C59,'Base Dados NCM'!$A:$B,2,FALSE),"NCM não encontrado"))</f>
        <v/>
      </c>
      <c r="R59" t="str">
        <f>IF($C59="","",IFERROR($P59*VLOOKUP($C59,'Base Dados NCM'!$A:$C,3,FALSE),"NCM não encontrado"))</f>
        <v/>
      </c>
      <c r="S59"/>
      <c r="T59" t="str">
        <f>IF($C59="","",IFERROR($P59*VLOOKUP($C59,'Base Dados NCM'!$A:$D,4,FALSE),"NCM não encontrado"))</f>
        <v/>
      </c>
      <c r="U59"/>
    </row>
    <row r="60" spans="1:21">
      <c r="Q60" t="str">
        <f>IF($C60="","",IFERROR($P60*VLOOKUP($C60,'Base Dados NCM'!$A:$B,2,FALSE),"NCM não encontrado"))</f>
        <v/>
      </c>
      <c r="R60" t="str">
        <f>IF($C60="","",IFERROR($P60*VLOOKUP($C60,'Base Dados NCM'!$A:$C,3,FALSE),"NCM não encontrado"))</f>
        <v/>
      </c>
      <c r="S60"/>
      <c r="T60" t="str">
        <f>IF($C60="","",IFERROR($P60*VLOOKUP($C60,'Base Dados NCM'!$A:$D,4,FALSE),"NCM não encontrado"))</f>
        <v/>
      </c>
      <c r="U60"/>
    </row>
    <row r="61" spans="1:21">
      <c r="Q61" t="str">
        <f>IF($C61="","",IFERROR($P61*VLOOKUP($C61,'Base Dados NCM'!$A:$B,2,FALSE),"NCM não encontrado"))</f>
        <v/>
      </c>
      <c r="R61" t="str">
        <f>IF($C61="","",IFERROR($P61*VLOOKUP($C61,'Base Dados NCM'!$A:$C,3,FALSE),"NCM não encontrado"))</f>
        <v/>
      </c>
      <c r="S61"/>
      <c r="T61" t="str">
        <f>IF($C61="","",IFERROR($P61*VLOOKUP($C61,'Base Dados NCM'!$A:$D,4,FALSE),"NCM não encontrado"))</f>
        <v/>
      </c>
      <c r="U61"/>
    </row>
    <row r="62" spans="1:21">
      <c r="Q62" t="str">
        <f>IF($C62="","",IFERROR($P62*VLOOKUP($C62,'Base Dados NCM'!$A:$B,2,FALSE),"NCM não encontrado"))</f>
        <v/>
      </c>
      <c r="R62" t="str">
        <f>IF($C62="","",IFERROR($P62*VLOOKUP($C62,'Base Dados NCM'!$A:$C,3,FALSE),"NCM não encontrado"))</f>
        <v/>
      </c>
      <c r="S62"/>
      <c r="T62" t="str">
        <f>IF($C62="","",IFERROR($P62*VLOOKUP($C62,'Base Dados NCM'!$A:$D,4,FALSE),"NCM não encontrado"))</f>
        <v/>
      </c>
      <c r="U62"/>
    </row>
    <row r="63" spans="1:21">
      <c r="Q63" t="str">
        <f>IF($C63="","",IFERROR($P63*VLOOKUP($C63,'Base Dados NCM'!$A:$B,2,FALSE),"NCM não encontrado"))</f>
        <v/>
      </c>
      <c r="R63" t="str">
        <f>IF($C63="","",IFERROR($P63*VLOOKUP($C63,'Base Dados NCM'!$A:$C,3,FALSE),"NCM não encontrado"))</f>
        <v/>
      </c>
      <c r="S63"/>
      <c r="T63" t="str">
        <f>IF($C63="","",IFERROR($P63*VLOOKUP($C63,'Base Dados NCM'!$A:$D,4,FALSE),"NCM não encontrado"))</f>
        <v/>
      </c>
      <c r="U63"/>
    </row>
    <row r="64" spans="1:21">
      <c r="Q64" t="str">
        <f>IF($C64="","",IFERROR($P64*VLOOKUP($C64,'Base Dados NCM'!$A:$B,2,FALSE),"NCM não encontrado"))</f>
        <v/>
      </c>
      <c r="R64" t="str">
        <f>IF($C64="","",IFERROR($P64*VLOOKUP($C64,'Base Dados NCM'!$A:$C,3,FALSE),"NCM não encontrado"))</f>
        <v/>
      </c>
      <c r="S64"/>
      <c r="T64" t="str">
        <f>IF($C64="","",IFERROR($P64*VLOOKUP($C64,'Base Dados NCM'!$A:$D,4,FALSE),"NCM não encontrado"))</f>
        <v/>
      </c>
      <c r="U64"/>
    </row>
    <row r="65" spans="17:21">
      <c r="Q65" t="str">
        <f>IF($C65="","",IFERROR($P65*VLOOKUP($C65,'Base Dados NCM'!$A:$B,2,FALSE),"NCM não encontrado"))</f>
        <v/>
      </c>
      <c r="R65" t="str">
        <f>IF($C65="","",IFERROR($P65*VLOOKUP($C65,'Base Dados NCM'!$A:$C,3,FALSE),"NCM não encontrado"))</f>
        <v/>
      </c>
      <c r="S65"/>
      <c r="T65" t="str">
        <f>IF($C65="","",IFERROR($P65*VLOOKUP($C65,'Base Dados NCM'!$A:$D,4,FALSE),"NCM não encontrado"))</f>
        <v/>
      </c>
      <c r="U65"/>
    </row>
    <row r="66" spans="17:21">
      <c r="Q66" t="str">
        <f>IF($C66="","",IFERROR($P66*VLOOKUP($C66,'Base Dados NCM'!$A:$B,2,FALSE),"NCM não encontrado"))</f>
        <v/>
      </c>
      <c r="R66" t="str">
        <f>IF($C66="","",IFERROR($P66*VLOOKUP($C66,'Base Dados NCM'!$A:$C,3,FALSE),"NCM não encontrado"))</f>
        <v/>
      </c>
      <c r="S66"/>
      <c r="T66" t="str">
        <f>IF($C66="","",IFERROR($P66*VLOOKUP($C66,'Base Dados NCM'!$A:$D,4,FALSE),"NCM não encontrado"))</f>
        <v/>
      </c>
      <c r="U66"/>
    </row>
    <row r="67" spans="17:21">
      <c r="Q67" t="str">
        <f>IF($C67="","",IFERROR($P67*VLOOKUP($C67,'Base Dados NCM'!$A:$B,2,FALSE),"NCM não encontrado"))</f>
        <v/>
      </c>
      <c r="R67" t="str">
        <f>IF($C67="","",IFERROR($P67*VLOOKUP($C67,'Base Dados NCM'!$A:$C,3,FALSE),"NCM não encontrado"))</f>
        <v/>
      </c>
      <c r="S67"/>
      <c r="T67" t="str">
        <f>IF($C67="","",IFERROR($P67*VLOOKUP($C67,'Base Dados NCM'!$A:$D,4,FALSE),"NCM não encontrado"))</f>
        <v/>
      </c>
      <c r="U67"/>
    </row>
    <row r="68" spans="17:21">
      <c r="Q68" t="str">
        <f>IF($C68="","",IFERROR($P68*VLOOKUP($C68,'Base Dados NCM'!$A:$B,2,FALSE),"NCM não encontrado"))</f>
        <v/>
      </c>
      <c r="R68" t="str">
        <f>IF($C68="","",IFERROR($P68*VLOOKUP($C68,'Base Dados NCM'!$A:$C,3,FALSE),"NCM não encontrado"))</f>
        <v/>
      </c>
      <c r="S68"/>
      <c r="T68" t="str">
        <f>IF($C68="","",IFERROR($P68*VLOOKUP($C68,'Base Dados NCM'!$A:$D,4,FALSE),"NCM não encontrado"))</f>
        <v/>
      </c>
      <c r="U68"/>
    </row>
    <row r="69" spans="17:21">
      <c r="Q69" t="str">
        <f>IF($C69="","",IFERROR($P69*VLOOKUP($C69,'Base Dados NCM'!$A:$B,2,FALSE),"NCM não encontrado"))</f>
        <v/>
      </c>
      <c r="R69" t="str">
        <f>IF($C69="","",IFERROR($P69*VLOOKUP($C69,'Base Dados NCM'!$A:$C,3,FALSE),"NCM não encontrado"))</f>
        <v/>
      </c>
      <c r="S69"/>
      <c r="T69" t="str">
        <f>IF($C69="","",IFERROR($P69*VLOOKUP($C69,'Base Dados NCM'!$A:$D,4,FALSE),"NCM não encontrado"))</f>
        <v/>
      </c>
      <c r="U69"/>
    </row>
    <row r="70" spans="17:21">
      <c r="Q70" t="str">
        <f>IF($C70="","",IFERROR($P70*VLOOKUP($C70,'Base Dados NCM'!$A:$B,2,FALSE),"NCM não encontrado"))</f>
        <v/>
      </c>
      <c r="R70" t="str">
        <f>IF($C70="","",IFERROR($P70*VLOOKUP($C70,'Base Dados NCM'!$A:$C,3,FALSE),"NCM não encontrado"))</f>
        <v/>
      </c>
      <c r="S70"/>
      <c r="T70" t="str">
        <f>IF($C70="","",IFERROR($P70*VLOOKUP($C70,'Base Dados NCM'!$A:$D,4,FALSE),"NCM não encontrado"))</f>
        <v/>
      </c>
      <c r="U70"/>
    </row>
    <row r="71" spans="17:21">
      <c r="Q71" t="str">
        <f>IF($C71="","",IFERROR($P71*VLOOKUP($C71,'Base Dados NCM'!$A:$B,2,FALSE),"NCM não encontrado"))</f>
        <v/>
      </c>
      <c r="R71" t="str">
        <f>IF($C71="","",IFERROR($P71*VLOOKUP($C71,'Base Dados NCM'!$A:$C,3,FALSE),"NCM não encontrado"))</f>
        <v/>
      </c>
      <c r="S71"/>
      <c r="T71" t="str">
        <f>IF($C71="","",IFERROR($P71*VLOOKUP($C71,'Base Dados NCM'!$A:$D,4,FALSE),"NCM não encontrado"))</f>
        <v/>
      </c>
      <c r="U71"/>
    </row>
    <row r="72" spans="17:21">
      <c r="Q72" t="str">
        <f>IF($C72="","",IFERROR($P72*VLOOKUP($C72,'Base Dados NCM'!$A:$B,2,FALSE),"NCM não encontrado"))</f>
        <v/>
      </c>
      <c r="R72" t="str">
        <f>IF($C72="","",IFERROR($P72*VLOOKUP($C72,'Base Dados NCM'!$A:$C,3,FALSE),"NCM não encontrado"))</f>
        <v/>
      </c>
      <c r="S72"/>
      <c r="T72" t="str">
        <f>IF($C72="","",IFERROR($P72*VLOOKUP($C72,'Base Dados NCM'!$A:$D,4,FALSE),"NCM não encontrado"))</f>
        <v/>
      </c>
      <c r="U72"/>
    </row>
    <row r="73" spans="17:21">
      <c r="Q73" t="str">
        <f>IF($C73="","",IFERROR($P73*VLOOKUP($C73,'Base Dados NCM'!$A:$B,2,FALSE),"NCM não encontrado"))</f>
        <v/>
      </c>
      <c r="R73" t="str">
        <f>IF($C73="","",IFERROR($P73*VLOOKUP($C73,'Base Dados NCM'!$A:$C,3,FALSE),"NCM não encontrado"))</f>
        <v/>
      </c>
      <c r="S73"/>
      <c r="T73" t="str">
        <f>IF($C73="","",IFERROR($P73*VLOOKUP($C73,'Base Dados NCM'!$A:$D,4,FALSE),"NCM não encontrado"))</f>
        <v/>
      </c>
      <c r="U73"/>
    </row>
    <row r="74" spans="17:21">
      <c r="Q74" t="str">
        <f>IF($C74="","",IFERROR($P74*VLOOKUP($C74,'Base Dados NCM'!$A:$B,2,FALSE),"NCM não encontrado"))</f>
        <v/>
      </c>
      <c r="R74" t="str">
        <f>IF($C74="","",IFERROR($P74*VLOOKUP($C74,'Base Dados NCM'!$A:$C,3,FALSE),"NCM não encontrado"))</f>
        <v/>
      </c>
      <c r="S74"/>
      <c r="T74" t="str">
        <f>IF($C74="","",IFERROR($P74*VLOOKUP($C74,'Base Dados NCM'!$A:$D,4,FALSE),"NCM não encontrado"))</f>
        <v/>
      </c>
      <c r="U74"/>
    </row>
    <row r="75" spans="17:21">
      <c r="Q75" t="str">
        <f>IF($C75="","",IFERROR($P75*VLOOKUP($C75,'Base Dados NCM'!$A:$B,2,FALSE),"NCM não encontrado"))</f>
        <v/>
      </c>
      <c r="R75" t="str">
        <f>IF($C75="","",IFERROR($P75*VLOOKUP($C75,'Base Dados NCM'!$A:$C,3,FALSE),"NCM não encontrado"))</f>
        <v/>
      </c>
      <c r="S75"/>
      <c r="T75" t="str">
        <f>IF($C75="","",IFERROR($P75*VLOOKUP($C75,'Base Dados NCM'!$A:$D,4,FALSE),"NCM não encontrado"))</f>
        <v/>
      </c>
      <c r="U75"/>
    </row>
    <row r="76" spans="17:21">
      <c r="Q76" t="str">
        <f>IF($C76="","",IFERROR($P76*VLOOKUP($C76,'Base Dados NCM'!$A:$B,2,FALSE),"NCM não encontrado"))</f>
        <v/>
      </c>
      <c r="R76" t="str">
        <f>IF($C76="","",IFERROR($P76*VLOOKUP($C76,'Base Dados NCM'!$A:$C,3,FALSE),"NCM não encontrado"))</f>
        <v/>
      </c>
      <c r="S76"/>
      <c r="T76" t="str">
        <f>IF($C76="","",IFERROR($P76*VLOOKUP($C76,'Base Dados NCM'!$A:$D,4,FALSE),"NCM não encontrado"))</f>
        <v/>
      </c>
      <c r="U76"/>
    </row>
    <row r="77" spans="17:21">
      <c r="Q77" t="str">
        <f>IF($C77="","",IFERROR($P77*VLOOKUP($C77,'Base Dados NCM'!$A:$B,2,FALSE),"NCM não encontrado"))</f>
        <v/>
      </c>
      <c r="R77" t="str">
        <f>IF($C77="","",IFERROR($P77*VLOOKUP($C77,'Base Dados NCM'!$A:$C,3,FALSE),"NCM não encontrado"))</f>
        <v/>
      </c>
      <c r="S77"/>
      <c r="T77" t="str">
        <f>IF($C77="","",IFERROR($P77*VLOOKUP($C77,'Base Dados NCM'!$A:$D,4,FALSE),"NCM não encontrado"))</f>
        <v/>
      </c>
      <c r="U77"/>
    </row>
    <row r="78" spans="17:21">
      <c r="Q78" t="str">
        <f>IF($C78="","",IFERROR($P78*VLOOKUP($C78,'Base Dados NCM'!$A:$B,2,FALSE),"NCM não encontrado"))</f>
        <v/>
      </c>
      <c r="R78" t="str">
        <f>IF($C78="","",IFERROR($P78*VLOOKUP($C78,'Base Dados NCM'!$A:$C,3,FALSE),"NCM não encontrado"))</f>
        <v/>
      </c>
      <c r="S78"/>
      <c r="T78" t="str">
        <f>IF($C78="","",IFERROR($P78*VLOOKUP($C78,'Base Dados NCM'!$A:$D,4,FALSE),"NCM não encontrado"))</f>
        <v/>
      </c>
      <c r="U78"/>
    </row>
    <row r="79" spans="17:21">
      <c r="Q79" t="str">
        <f>IF($C79="","",IFERROR($P79*VLOOKUP($C79,'Base Dados NCM'!$A:$B,2,FALSE),"NCM não encontrado"))</f>
        <v/>
      </c>
      <c r="R79" t="str">
        <f>IF($C79="","",IFERROR($P79*VLOOKUP($C79,'Base Dados NCM'!$A:$C,3,FALSE),"NCM não encontrado"))</f>
        <v/>
      </c>
      <c r="S79"/>
      <c r="T79" t="str">
        <f>IF($C79="","",IFERROR($P79*VLOOKUP($C79,'Base Dados NCM'!$A:$D,4,FALSE),"NCM não encontrado"))</f>
        <v/>
      </c>
      <c r="U79"/>
    </row>
    <row r="80" spans="17:21">
      <c r="Q80" t="str">
        <f>IF($C80="","",IFERROR($P80*VLOOKUP($C80,'Base Dados NCM'!$A:$B,2,FALSE),"NCM não encontrado"))</f>
        <v/>
      </c>
      <c r="R80" t="str">
        <f>IF($C80="","",IFERROR($P80*VLOOKUP($C80,'Base Dados NCM'!$A:$C,3,FALSE),"NCM não encontrado"))</f>
        <v/>
      </c>
      <c r="S80"/>
      <c r="T80" t="str">
        <f>IF($C80="","",IFERROR($P80*VLOOKUP($C80,'Base Dados NCM'!$A:$D,4,FALSE),"NCM não encontrado"))</f>
        <v/>
      </c>
      <c r="U80"/>
    </row>
    <row r="81" spans="17:21">
      <c r="Q81" t="str">
        <f>IF($C81="","",IFERROR($P81*VLOOKUP($C81,'Base Dados NCM'!$A:$B,2,FALSE),"NCM não encontrado"))</f>
        <v/>
      </c>
      <c r="R81" t="str">
        <f>IF($C81="","",IFERROR($P81*VLOOKUP($C81,'Base Dados NCM'!$A:$C,3,FALSE),"NCM não encontrado"))</f>
        <v/>
      </c>
      <c r="S81"/>
      <c r="T81" t="str">
        <f>IF($C81="","",IFERROR($P81*VLOOKUP($C81,'Base Dados NCM'!$A:$D,4,FALSE),"NCM não encontrado"))</f>
        <v/>
      </c>
      <c r="U81"/>
    </row>
    <row r="82" spans="17:21">
      <c r="Q82" t="str">
        <f>IF($C82="","",IFERROR($P82*VLOOKUP($C82,'Base Dados NCM'!$A:$B,2,FALSE),"NCM não encontrado"))</f>
        <v/>
      </c>
      <c r="R82" t="str">
        <f>IF($C82="","",IFERROR($P82*VLOOKUP($C82,'Base Dados NCM'!$A:$C,3,FALSE),"NCM não encontrado"))</f>
        <v/>
      </c>
      <c r="S82"/>
      <c r="T82" t="str">
        <f>IF($C82="","",IFERROR($P82*VLOOKUP($C82,'Base Dados NCM'!$A:$D,4,FALSE),"NCM não encontrado"))</f>
        <v/>
      </c>
      <c r="U82"/>
    </row>
    <row r="83" spans="17:21">
      <c r="Q83" t="str">
        <f>IF($C83="","",IFERROR($P83*VLOOKUP($C83,'Base Dados NCM'!$A:$B,2,FALSE),"NCM não encontrado"))</f>
        <v/>
      </c>
      <c r="R83" t="str">
        <f>IF($C83="","",IFERROR($P83*VLOOKUP($C83,'Base Dados NCM'!$A:$C,3,FALSE),"NCM não encontrado"))</f>
        <v/>
      </c>
      <c r="S83"/>
      <c r="T83" t="str">
        <f>IF($C83="","",IFERROR($P83*VLOOKUP($C83,'Base Dados NCM'!$A:$D,4,FALSE),"NCM não encontrado"))</f>
        <v/>
      </c>
      <c r="U83"/>
    </row>
    <row r="84" spans="17:21">
      <c r="Q84" t="str">
        <f>IF($C84="","",IFERROR($P84*VLOOKUP($C84,'Base Dados NCM'!$A:$B,2,FALSE),"NCM não encontrado"))</f>
        <v/>
      </c>
      <c r="R84" t="str">
        <f>IF($C84="","",IFERROR($P84*VLOOKUP($C84,'Base Dados NCM'!$A:$C,3,FALSE),"NCM não encontrado"))</f>
        <v/>
      </c>
      <c r="S84"/>
      <c r="T84" t="str">
        <f>IF($C84="","",IFERROR($P84*VLOOKUP($C84,'Base Dados NCM'!$A:$D,4,FALSE),"NCM não encontrado"))</f>
        <v/>
      </c>
      <c r="U84"/>
    </row>
    <row r="85" spans="17:21">
      <c r="Q85" t="str">
        <f>IF($C85="","",IFERROR($P85*VLOOKUP($C85,'Base Dados NCM'!$A:$B,2,FALSE),"NCM não encontrado"))</f>
        <v/>
      </c>
      <c r="R85" t="str">
        <f>IF($C85="","",IFERROR($P85*VLOOKUP($C85,'Base Dados NCM'!$A:$C,3,FALSE),"NCM não encontrado"))</f>
        <v/>
      </c>
      <c r="S85"/>
      <c r="T85" t="str">
        <f>IF($C85="","",IFERROR($P85*VLOOKUP($C85,'Base Dados NCM'!$A:$D,4,FALSE),"NCM não encontrado"))</f>
        <v/>
      </c>
      <c r="U85"/>
    </row>
    <row r="86" spans="17:21">
      <c r="Q86" t="str">
        <f>IF($C86="","",IFERROR($P86*VLOOKUP($C86,'Base Dados NCM'!$A:$B,2,FALSE),"NCM não encontrado"))</f>
        <v/>
      </c>
      <c r="R86" t="str">
        <f>IF($C86="","",IFERROR($P86*VLOOKUP($C86,'Base Dados NCM'!$A:$C,3,FALSE),"NCM não encontrado"))</f>
        <v/>
      </c>
      <c r="S86"/>
      <c r="T86" t="str">
        <f>IF($C86="","",IFERROR($P86*VLOOKUP($C86,'Base Dados NCM'!$A:$D,4,FALSE),"NCM não encontrado"))</f>
        <v/>
      </c>
      <c r="U86"/>
    </row>
    <row r="87" spans="17:21">
      <c r="Q87" t="str">
        <f>IF($C87="","",IFERROR($P87*VLOOKUP($C87,'Base Dados NCM'!$A:$B,2,FALSE),"NCM não encontrado"))</f>
        <v/>
      </c>
      <c r="R87" t="str">
        <f>IF($C87="","",IFERROR($P87*VLOOKUP($C87,'Base Dados NCM'!$A:$C,3,FALSE),"NCM não encontrado"))</f>
        <v/>
      </c>
      <c r="S87"/>
      <c r="T87" t="str">
        <f>IF($C87="","",IFERROR($P87*VLOOKUP($C87,'Base Dados NCM'!$A:$D,4,FALSE),"NCM não encontrado"))</f>
        <v/>
      </c>
      <c r="U87"/>
    </row>
    <row r="88" spans="17:21">
      <c r="Q88" t="str">
        <f>IF($C88="","",IFERROR($P88*VLOOKUP($C88,'Base Dados NCM'!$A:$B,2,FALSE),"NCM não encontrado"))</f>
        <v/>
      </c>
      <c r="R88" t="str">
        <f>IF($C88="","",IFERROR($P88*VLOOKUP($C88,'Base Dados NCM'!$A:$C,3,FALSE),"NCM não encontrado"))</f>
        <v/>
      </c>
      <c r="S88"/>
      <c r="T88" t="str">
        <f>IF($C88="","",IFERROR($P88*VLOOKUP($C88,'Base Dados NCM'!$A:$D,4,FALSE),"NCM não encontrado"))</f>
        <v/>
      </c>
      <c r="U88"/>
    </row>
    <row r="89" spans="17:21">
      <c r="Q89" t="str">
        <f>IF($C89="","",IFERROR($P89*VLOOKUP($C89,'Base Dados NCM'!$A:$B,2,FALSE),"NCM não encontrado"))</f>
        <v/>
      </c>
      <c r="R89" t="str">
        <f>IF($C89="","",IFERROR($P89*VLOOKUP($C89,'Base Dados NCM'!$A:$C,3,FALSE),"NCM não encontrado"))</f>
        <v/>
      </c>
      <c r="S89"/>
      <c r="T89" t="str">
        <f>IF($C89="","",IFERROR($P89*VLOOKUP($C89,'Base Dados NCM'!$A:$D,4,FALSE),"NCM não encontrado"))</f>
        <v/>
      </c>
      <c r="U89"/>
    </row>
    <row r="90" spans="17:21">
      <c r="Q90" t="str">
        <f>IF($C90="","",IFERROR($P90*VLOOKUP($C90,'Base Dados NCM'!$A:$B,2,FALSE),"NCM não encontrado"))</f>
        <v/>
      </c>
      <c r="R90" t="str">
        <f>IF($C90="","",IFERROR($P90*VLOOKUP($C90,'Base Dados NCM'!$A:$C,3,FALSE),"NCM não encontrado"))</f>
        <v/>
      </c>
      <c r="S90"/>
      <c r="T90" t="str">
        <f>IF($C90="","",IFERROR($P90*VLOOKUP($C90,'Base Dados NCM'!$A:$D,4,FALSE),"NCM não encontrado"))</f>
        <v/>
      </c>
      <c r="U90"/>
    </row>
    <row r="91" spans="17:21">
      <c r="Q91" t="str">
        <f>IF($C91="","",IFERROR($P91*VLOOKUP($C91,'Base Dados NCM'!$A:$B,2,FALSE),"NCM não encontrado"))</f>
        <v/>
      </c>
      <c r="R91" t="str">
        <f>IF($C91="","",IFERROR($P91*VLOOKUP($C91,'Base Dados NCM'!$A:$C,3,FALSE),"NCM não encontrado"))</f>
        <v/>
      </c>
      <c r="S91"/>
      <c r="T91" t="str">
        <f>IF($C91="","",IFERROR($P91*VLOOKUP($C91,'Base Dados NCM'!$A:$D,4,FALSE),"NCM não encontrado"))</f>
        <v/>
      </c>
      <c r="U91"/>
    </row>
    <row r="92" spans="17:21">
      <c r="Q92" t="str">
        <f>IF($C92="","",IFERROR($P92*VLOOKUP($C92,'Base Dados NCM'!$A:$B,2,FALSE),"NCM não encontrado"))</f>
        <v/>
      </c>
      <c r="R92" t="str">
        <f>IF($C92="","",IFERROR($P92*VLOOKUP($C92,'Base Dados NCM'!$A:$C,3,FALSE),"NCM não encontrado"))</f>
        <v/>
      </c>
      <c r="S92"/>
      <c r="T92" t="str">
        <f>IF($C92="","",IFERROR($P92*VLOOKUP($C92,'Base Dados NCM'!$A:$D,4,FALSE),"NCM não encontrado"))</f>
        <v/>
      </c>
      <c r="U92"/>
    </row>
    <row r="93" spans="17:21">
      <c r="Q93" t="str">
        <f>IF($C93="","",IFERROR($P93*VLOOKUP($C93,'Base Dados NCM'!$A:$B,2,FALSE),"NCM não encontrado"))</f>
        <v/>
      </c>
      <c r="R93" t="str">
        <f>IF($C93="","",IFERROR($P93*VLOOKUP($C93,'Base Dados NCM'!$A:$C,3,FALSE),"NCM não encontrado"))</f>
        <v/>
      </c>
      <c r="S93"/>
      <c r="T93" t="str">
        <f>IF($C93="","",IFERROR($P93*VLOOKUP($C93,'Base Dados NCM'!$A:$D,4,FALSE),"NCM não encontrado"))</f>
        <v/>
      </c>
      <c r="U93"/>
    </row>
    <row r="94" spans="17:21">
      <c r="Q94" t="str">
        <f>IF($C94="","",IFERROR($P94*VLOOKUP($C94,'Base Dados NCM'!$A:$B,2,FALSE),"NCM não encontrado"))</f>
        <v/>
      </c>
      <c r="R94" t="str">
        <f>IF($C94="","",IFERROR($P94*VLOOKUP($C94,'Base Dados NCM'!$A:$C,3,FALSE),"NCM não encontrado"))</f>
        <v/>
      </c>
      <c r="S94"/>
      <c r="T94" t="str">
        <f>IF($C94="","",IFERROR($P94*VLOOKUP($C94,'Base Dados NCM'!$A:$D,4,FALSE),"NCM não encontrado"))</f>
        <v/>
      </c>
      <c r="U94"/>
    </row>
    <row r="95" spans="17:21">
      <c r="Q95" t="str">
        <f>IF($C95="","",IFERROR($P95*VLOOKUP($C95,'Base Dados NCM'!$A:$B,2,FALSE),"NCM não encontrado"))</f>
        <v/>
      </c>
      <c r="R95" t="str">
        <f>IF($C95="","",IFERROR($P95*VLOOKUP($C95,'Base Dados NCM'!$A:$C,3,FALSE),"NCM não encontrado"))</f>
        <v/>
      </c>
      <c r="S95"/>
      <c r="T95" t="str">
        <f>IF($C95="","",IFERROR($P95*VLOOKUP($C95,'Base Dados NCM'!$A:$D,4,FALSE),"NCM não encontrado"))</f>
        <v/>
      </c>
      <c r="U95"/>
    </row>
    <row r="96" spans="17:21">
      <c r="Q96" t="str">
        <f>IF($C96="","",IFERROR($P96*VLOOKUP($C96,'Base Dados NCM'!$A:$B,2,FALSE),"NCM não encontrado"))</f>
        <v/>
      </c>
      <c r="R96" t="str">
        <f>IF($C96="","",IFERROR($P96*VLOOKUP($C96,'Base Dados NCM'!$A:$C,3,FALSE),"NCM não encontrado"))</f>
        <v/>
      </c>
      <c r="S96"/>
      <c r="T96" t="str">
        <f>IF($C96="","",IFERROR($P96*VLOOKUP($C96,'Base Dados NCM'!$A:$D,4,FALSE),"NCM não encontrado"))</f>
        <v/>
      </c>
      <c r="U96"/>
    </row>
    <row r="97" spans="17:21">
      <c r="Q97" t="str">
        <f>IF($C97="","",IFERROR($P97*VLOOKUP($C97,'Base Dados NCM'!$A:$B,2,FALSE),"NCM não encontrado"))</f>
        <v/>
      </c>
      <c r="R97" t="str">
        <f>IF($C97="","",IFERROR($P97*VLOOKUP($C97,'Base Dados NCM'!$A:$C,3,FALSE),"NCM não encontrado"))</f>
        <v/>
      </c>
      <c r="S97"/>
      <c r="T97" t="str">
        <f>IF($C97="","",IFERROR($P97*VLOOKUP($C97,'Base Dados NCM'!$A:$D,4,FALSE),"NCM não encontrado"))</f>
        <v/>
      </c>
      <c r="U97"/>
    </row>
    <row r="98" spans="17:21">
      <c r="Q98" t="str">
        <f>IF($C98="","",IFERROR($P98*VLOOKUP($C98,'Base Dados NCM'!$A:$B,2,FALSE),"NCM não encontrado"))</f>
        <v/>
      </c>
      <c r="R98" t="str">
        <f>IF($C98="","",IFERROR($P98*VLOOKUP($C98,'Base Dados NCM'!$A:$C,3,FALSE),"NCM não encontrado"))</f>
        <v/>
      </c>
      <c r="S98"/>
      <c r="T98" t="str">
        <f>IF($C98="","",IFERROR($P98*VLOOKUP($C98,'Base Dados NCM'!$A:$D,4,FALSE),"NCM não encontrado"))</f>
        <v/>
      </c>
      <c r="U98"/>
    </row>
    <row r="99" spans="17:21">
      <c r="Q99" t="str">
        <f>IF($C99="","",IFERROR($P99*VLOOKUP($C99,'Base Dados NCM'!$A:$B,2,FALSE),"NCM não encontrado"))</f>
        <v/>
      </c>
      <c r="R99" t="str">
        <f>IF($C99="","",IFERROR($P99*VLOOKUP($C99,'Base Dados NCM'!$A:$C,3,FALSE),"NCM não encontrado"))</f>
        <v/>
      </c>
      <c r="S99"/>
      <c r="T99" t="str">
        <f>IF($C99="","",IFERROR($P99*VLOOKUP($C99,'Base Dados NCM'!$A:$D,4,FALSE),"NCM não encontrado"))</f>
        <v/>
      </c>
      <c r="U99"/>
    </row>
    <row r="100" spans="17:21">
      <c r="Q100" t="str">
        <f>IF($C100="","",IFERROR($P100*VLOOKUP($C100,'Base Dados NCM'!$A:$B,2,FALSE),"NCM não encontrado"))</f>
        <v/>
      </c>
      <c r="R100" t="str">
        <f>IF($C100="","",IFERROR($P100*VLOOKUP($C100,'Base Dados NCM'!$A:$C,3,FALSE),"NCM não encontrado"))</f>
        <v/>
      </c>
      <c r="S100"/>
      <c r="T100" t="str">
        <f>IF($C100="","",IFERROR($P100*VLOOKUP($C100,'Base Dados NCM'!$A:$D,4,FALSE),"NCM não encontrado"))</f>
        <v/>
      </c>
      <c r="U100"/>
    </row>
    <row r="101" spans="17:21">
      <c r="Q101" t="str">
        <f>IF($C101="","",IFERROR($P101*VLOOKUP($C101,'Base Dados NCM'!$A:$B,2,FALSE),"NCM não encontrado"))</f>
        <v/>
      </c>
      <c r="R101" t="str">
        <f>IF($C101="","",IFERROR($P101*VLOOKUP($C101,'Base Dados NCM'!$A:$C,3,FALSE),"NCM não encontrado"))</f>
        <v/>
      </c>
      <c r="S101"/>
      <c r="T101" t="str">
        <f>IF($C101="","",IFERROR($P101*VLOOKUP($C101,'Base Dados NCM'!$A:$D,4,FALSE),"NCM não encontrado"))</f>
        <v/>
      </c>
      <c r="U101"/>
    </row>
    <row r="102" spans="17:21">
      <c r="Q102" t="str">
        <f>IF($C102="","",IFERROR($P102*VLOOKUP($C102,'Base Dados NCM'!$A:$B,2,FALSE),"NCM não encontrado"))</f>
        <v/>
      </c>
      <c r="R102" t="str">
        <f>IF($C102="","",IFERROR($P102*VLOOKUP($C102,'Base Dados NCM'!$A:$C,3,FALSE),"NCM não encontrado"))</f>
        <v/>
      </c>
      <c r="S102"/>
      <c r="T102" t="str">
        <f>IF($C102="","",IFERROR($P102*VLOOKUP($C102,'Base Dados NCM'!$A:$D,4,FALSE),"NCM não encontrado"))</f>
        <v/>
      </c>
      <c r="U102"/>
    </row>
    <row r="103" spans="17:21">
      <c r="Q103" t="str">
        <f>IF($C103="","",IFERROR($P103*VLOOKUP($C103,'Base Dados NCM'!$A:$B,2,FALSE),"NCM não encontrado"))</f>
        <v/>
      </c>
      <c r="R103" t="str">
        <f>IF($C103="","",IFERROR($P103*VLOOKUP($C103,'Base Dados NCM'!$A:$C,3,FALSE),"NCM não encontrado"))</f>
        <v/>
      </c>
      <c r="S103"/>
      <c r="T103" t="str">
        <f>IF($C103="","",IFERROR($P103*VLOOKUP($C103,'Base Dados NCM'!$A:$D,4,FALSE),"NCM não encontrado"))</f>
        <v/>
      </c>
      <c r="U103"/>
    </row>
    <row r="104" spans="17:21">
      <c r="Q104" t="str">
        <f>IF($C104="","",IFERROR($P104*VLOOKUP($C104,'Base Dados NCM'!$A:$B,2,FALSE),"NCM não encontrado"))</f>
        <v/>
      </c>
      <c r="R104" t="str">
        <f>IF($C104="","",IFERROR($P104*VLOOKUP($C104,'Base Dados NCM'!$A:$C,3,FALSE),"NCM não encontrado"))</f>
        <v/>
      </c>
      <c r="S104"/>
      <c r="T104" t="str">
        <f>IF($C104="","",IFERROR($P104*VLOOKUP($C104,'Base Dados NCM'!$A:$D,4,FALSE),"NCM não encontrado"))</f>
        <v/>
      </c>
      <c r="U104"/>
    </row>
    <row r="105" spans="17:21">
      <c r="Q105" t="str">
        <f>IF($C105="","",IFERROR($P105*VLOOKUP($C105,'Base Dados NCM'!$A:$B,2,FALSE),"NCM não encontrado"))</f>
        <v/>
      </c>
      <c r="R105" t="str">
        <f>IF($C105="","",IFERROR($P105*VLOOKUP($C105,'Base Dados NCM'!$A:$C,3,FALSE),"NCM não encontrado"))</f>
        <v/>
      </c>
      <c r="S105"/>
      <c r="T105" t="str">
        <f>IF($C105="","",IFERROR($P105*VLOOKUP($C105,'Base Dados NCM'!$A:$D,4,FALSE),"NCM não encontrado"))</f>
        <v/>
      </c>
      <c r="U105"/>
    </row>
    <row r="106" spans="17:21">
      <c r="Q106" t="str">
        <f>IF($C106="","",IFERROR($P106*VLOOKUP($C106,'Base Dados NCM'!$A:$B,2,FALSE),"NCM não encontrado"))</f>
        <v/>
      </c>
      <c r="R106" t="str">
        <f>IF($C106="","",IFERROR($P106*VLOOKUP($C106,'Base Dados NCM'!$A:$C,3,FALSE),"NCM não encontrado"))</f>
        <v/>
      </c>
      <c r="S106"/>
      <c r="T106" t="str">
        <f>IF($C106="","",IFERROR($P106*VLOOKUP($C106,'Base Dados NCM'!$A:$D,4,FALSE),"NCM não encontrado"))</f>
        <v/>
      </c>
      <c r="U106"/>
    </row>
    <row r="107" spans="17:21">
      <c r="Q107" t="str">
        <f>IF($C107="","",IFERROR($P107*VLOOKUP($C107,'Base Dados NCM'!$A:$B,2,FALSE),"NCM não encontrado"))</f>
        <v/>
      </c>
      <c r="R107" t="str">
        <f>IF($C107="","",IFERROR($P107*VLOOKUP($C107,'Base Dados NCM'!$A:$C,3,FALSE),"NCM não encontrado"))</f>
        <v/>
      </c>
      <c r="S107"/>
      <c r="T107" t="str">
        <f>IF($C107="","",IFERROR($P107*VLOOKUP($C107,'Base Dados NCM'!$A:$D,4,FALSE),"NCM não encontrado"))</f>
        <v/>
      </c>
      <c r="U107"/>
    </row>
    <row r="108" spans="17:21">
      <c r="Q108" t="str">
        <f>IF($C108="","",IFERROR($P108*VLOOKUP($C108,'Base Dados NCM'!$A:$B,2,FALSE),"NCM não encontrado"))</f>
        <v/>
      </c>
      <c r="R108" t="str">
        <f>IF($C108="","",IFERROR($P108*VLOOKUP($C108,'Base Dados NCM'!$A:$C,3,FALSE),"NCM não encontrado"))</f>
        <v/>
      </c>
      <c r="S108"/>
      <c r="T108" t="str">
        <f>IF($C108="","",IFERROR($P108*VLOOKUP($C108,'Base Dados NCM'!$A:$D,4,FALSE),"NCM não encontrado"))</f>
        <v/>
      </c>
      <c r="U108"/>
    </row>
    <row r="109" spans="17:21">
      <c r="Q109" t="str">
        <f>IF($C109="","",IFERROR($P109*VLOOKUP($C109,'Base Dados NCM'!$A:$B,2,FALSE),"NCM não encontrado"))</f>
        <v/>
      </c>
      <c r="R109" t="str">
        <f>IF($C109="","",IFERROR($P109*VLOOKUP($C109,'Base Dados NCM'!$A:$C,3,FALSE),"NCM não encontrado"))</f>
        <v/>
      </c>
      <c r="S109"/>
      <c r="T109" t="str">
        <f>IF($C109="","",IFERROR($P109*VLOOKUP($C109,'Base Dados NCM'!$A:$D,4,FALSE),"NCM não encontrado"))</f>
        <v/>
      </c>
      <c r="U109"/>
    </row>
    <row r="110" spans="17:21">
      <c r="Q110" t="str">
        <f>IF($C110="","",IFERROR($P110*VLOOKUP($C110,'Base Dados NCM'!$A:$B,2,FALSE),"NCM não encontrado"))</f>
        <v/>
      </c>
      <c r="R110" t="str">
        <f>IF($C110="","",IFERROR($P110*VLOOKUP($C110,'Base Dados NCM'!$A:$C,3,FALSE),"NCM não encontrado"))</f>
        <v/>
      </c>
      <c r="S110"/>
      <c r="T110" t="str">
        <f>IF($C110="","",IFERROR($P110*VLOOKUP($C110,'Base Dados NCM'!$A:$D,4,FALSE),"NCM não encontrado"))</f>
        <v/>
      </c>
      <c r="U110"/>
    </row>
    <row r="111" spans="17:21">
      <c r="Q111" t="str">
        <f>IF($C111="","",IFERROR($P111*VLOOKUP($C111,'Base Dados NCM'!$A:$B,2,FALSE),"NCM não encontrado"))</f>
        <v/>
      </c>
      <c r="R111" t="str">
        <f>IF($C111="","",IFERROR($P111*VLOOKUP($C111,'Base Dados NCM'!$A:$C,3,FALSE),"NCM não encontrado"))</f>
        <v/>
      </c>
      <c r="S111"/>
      <c r="T111" t="str">
        <f>IF($C111="","",IFERROR($P111*VLOOKUP($C111,'Base Dados NCM'!$A:$D,4,FALSE),"NCM não encontrado"))</f>
        <v/>
      </c>
      <c r="U111"/>
    </row>
    <row r="112" spans="17:21">
      <c r="Q112" t="str">
        <f>IF($C112="","",IFERROR($P112*VLOOKUP($C112,'Base Dados NCM'!$A:$B,2,FALSE),"NCM não encontrado"))</f>
        <v/>
      </c>
      <c r="R112" t="str">
        <f>IF($C112="","",IFERROR($P112*VLOOKUP($C112,'Base Dados NCM'!$A:$C,3,FALSE),"NCM não encontrado"))</f>
        <v/>
      </c>
      <c r="S112"/>
      <c r="T112" t="str">
        <f>IF($C112="","",IFERROR($P112*VLOOKUP($C112,'Base Dados NCM'!$A:$D,4,FALSE),"NCM não encontrado"))</f>
        <v/>
      </c>
      <c r="U112"/>
    </row>
    <row r="113" spans="17:21">
      <c r="Q113" t="str">
        <f>IF($C113="","",IFERROR($P113*VLOOKUP($C113,'Base Dados NCM'!$A:$B,2,FALSE),"NCM não encontrado"))</f>
        <v/>
      </c>
      <c r="R113" t="str">
        <f>IF($C113="","",IFERROR($P113*VLOOKUP($C113,'Base Dados NCM'!$A:$C,3,FALSE),"NCM não encontrado"))</f>
        <v/>
      </c>
      <c r="S113"/>
      <c r="T113" t="str">
        <f>IF($C113="","",IFERROR($P113*VLOOKUP($C113,'Base Dados NCM'!$A:$D,4,FALSE),"NCM não encontrado"))</f>
        <v/>
      </c>
      <c r="U113"/>
    </row>
    <row r="114" spans="17:21">
      <c r="Q114" t="str">
        <f>IF($C114="","",IFERROR($P114*VLOOKUP($C114,'Base Dados NCM'!$A:$B,2,FALSE),"NCM não encontrado"))</f>
        <v/>
      </c>
      <c r="R114" t="str">
        <f>IF($C114="","",IFERROR($P114*VLOOKUP($C114,'Base Dados NCM'!$A:$C,3,FALSE),"NCM não encontrado"))</f>
        <v/>
      </c>
      <c r="S114"/>
      <c r="T114" t="str">
        <f>IF($C114="","",IFERROR($P114*VLOOKUP($C114,'Base Dados NCM'!$A:$D,4,FALSE),"NCM não encontrado"))</f>
        <v/>
      </c>
      <c r="U114"/>
    </row>
    <row r="115" spans="17:21">
      <c r="Q115" t="str">
        <f>IF($C115="","",IFERROR($P115*VLOOKUP($C115,'Base Dados NCM'!$A:$B,2,FALSE),"NCM não encontrado"))</f>
        <v/>
      </c>
      <c r="R115" t="str">
        <f>IF($C115="","",IFERROR($P115*VLOOKUP($C115,'Base Dados NCM'!$A:$C,3,FALSE),"NCM não encontrado"))</f>
        <v/>
      </c>
      <c r="S115"/>
      <c r="T115" t="str">
        <f>IF($C115="","",IFERROR($P115*VLOOKUP($C115,'Base Dados NCM'!$A:$D,4,FALSE),"NCM não encontrado"))</f>
        <v/>
      </c>
      <c r="U115"/>
    </row>
    <row r="116" spans="17:21">
      <c r="Q116" t="str">
        <f>IF($C116="","",IFERROR($P116*VLOOKUP($C116,'Base Dados NCM'!$A:$B,2,FALSE),"NCM não encontrado"))</f>
        <v/>
      </c>
      <c r="R116" t="str">
        <f>IF($C116="","",IFERROR($P116*VLOOKUP($C116,'Base Dados NCM'!$A:$C,3,FALSE),"NCM não encontrado"))</f>
        <v/>
      </c>
      <c r="S116"/>
      <c r="T116" t="str">
        <f>IF($C116="","",IFERROR($P116*VLOOKUP($C116,'Base Dados NCM'!$A:$D,4,FALSE),"NCM não encontrado"))</f>
        <v/>
      </c>
      <c r="U116"/>
    </row>
    <row r="117" spans="17:21">
      <c r="Q117" t="str">
        <f>IF($C117="","",IFERROR($P117*VLOOKUP($C117,'Base Dados NCM'!$A:$B,2,FALSE),"NCM não encontrado"))</f>
        <v/>
      </c>
      <c r="R117" t="str">
        <f>IF($C117="","",IFERROR($P117*VLOOKUP($C117,'Base Dados NCM'!$A:$C,3,FALSE),"NCM não encontrado"))</f>
        <v/>
      </c>
      <c r="S117"/>
      <c r="T117" t="str">
        <f>IF($C117="","",IFERROR($P117*VLOOKUP($C117,'Base Dados NCM'!$A:$D,4,FALSE),"NCM não encontrado"))</f>
        <v/>
      </c>
      <c r="U117"/>
    </row>
    <row r="118" spans="17:21">
      <c r="Q118" t="str">
        <f>IF($C118="","",IFERROR($P118*VLOOKUP($C118,'Base Dados NCM'!$A:$B,2,FALSE),"NCM não encontrado"))</f>
        <v/>
      </c>
      <c r="R118" t="str">
        <f>IF($C118="","",IFERROR($P118*VLOOKUP($C118,'Base Dados NCM'!$A:$C,3,FALSE),"NCM não encontrado"))</f>
        <v/>
      </c>
      <c r="S118"/>
      <c r="T118" t="str">
        <f>IF($C118="","",IFERROR($P118*VLOOKUP($C118,'Base Dados NCM'!$A:$D,4,FALSE),"NCM não encontrado"))</f>
        <v/>
      </c>
      <c r="U118"/>
    </row>
    <row r="119" spans="17:21">
      <c r="Q119" t="str">
        <f>IF($C119="","",IFERROR($P119*VLOOKUP($C119,'Base Dados NCM'!$A:$B,2,FALSE),"NCM não encontrado"))</f>
        <v/>
      </c>
      <c r="R119" t="str">
        <f>IF($C119="","",IFERROR($P119*VLOOKUP($C119,'Base Dados NCM'!$A:$C,3,FALSE),"NCM não encontrado"))</f>
        <v/>
      </c>
      <c r="S119"/>
      <c r="T119" t="str">
        <f>IF($C119="","",IFERROR($P119*VLOOKUP($C119,'Base Dados NCM'!$A:$D,4,FALSE),"NCM não encontrado"))</f>
        <v/>
      </c>
      <c r="U119"/>
    </row>
    <row r="120" spans="17:21">
      <c r="Q120" t="str">
        <f>IF($C120="","",IFERROR($P120*VLOOKUP($C120,'Base Dados NCM'!$A:$B,2,FALSE),"NCM não encontrado"))</f>
        <v/>
      </c>
      <c r="R120" t="str">
        <f>IF($C120="","",IFERROR($P120*VLOOKUP($C120,'Base Dados NCM'!$A:$C,3,FALSE),"NCM não encontrado"))</f>
        <v/>
      </c>
      <c r="S120"/>
      <c r="T120" t="str">
        <f>IF($C120="","",IFERROR($P120*VLOOKUP($C120,'Base Dados NCM'!$A:$D,4,FALSE),"NCM não encontrado"))</f>
        <v/>
      </c>
      <c r="U120"/>
    </row>
    <row r="121" spans="17:21">
      <c r="Q121" t="str">
        <f>IF($C121="","",IFERROR($P121*VLOOKUP($C121,'Base Dados NCM'!$A:$B,2,FALSE),"NCM não encontrado"))</f>
        <v/>
      </c>
      <c r="R121" t="str">
        <f>IF($C121="","",IFERROR($P121*VLOOKUP($C121,'Base Dados NCM'!$A:$C,3,FALSE),"NCM não encontrado"))</f>
        <v/>
      </c>
      <c r="S121"/>
      <c r="T121" t="str">
        <f>IF($C121="","",IFERROR($P121*VLOOKUP($C121,'Base Dados NCM'!$A:$D,4,FALSE),"NCM não encontrado"))</f>
        <v/>
      </c>
      <c r="U121"/>
    </row>
    <row r="122" spans="17:21">
      <c r="Q122" t="str">
        <f>IF($C122="","",IFERROR($P122*VLOOKUP($C122,'Base Dados NCM'!$A:$B,2,FALSE),"NCM não encontrado"))</f>
        <v/>
      </c>
      <c r="R122" t="str">
        <f>IF($C122="","",IFERROR($P122*VLOOKUP($C122,'Base Dados NCM'!$A:$C,3,FALSE),"NCM não encontrado"))</f>
        <v/>
      </c>
      <c r="S122"/>
      <c r="T122" t="str">
        <f>IF($C122="","",IFERROR($P122*VLOOKUP($C122,'Base Dados NCM'!$A:$D,4,FALSE),"NCM não encontrado"))</f>
        <v/>
      </c>
      <c r="U122"/>
    </row>
    <row r="123" spans="17:21">
      <c r="Q123" t="str">
        <f>IF($C123="","",IFERROR($P123*VLOOKUP($C123,'Base Dados NCM'!$A:$B,2,FALSE),"NCM não encontrado"))</f>
        <v/>
      </c>
      <c r="R123" t="str">
        <f>IF($C123="","",IFERROR($P123*VLOOKUP($C123,'Base Dados NCM'!$A:$C,3,FALSE),"NCM não encontrado"))</f>
        <v/>
      </c>
      <c r="S123"/>
      <c r="T123" t="str">
        <f>IF($C123="","",IFERROR($P123*VLOOKUP($C123,'Base Dados NCM'!$A:$D,4,FALSE),"NCM não encontrado"))</f>
        <v/>
      </c>
      <c r="U123"/>
    </row>
    <row r="124" spans="17:21">
      <c r="Q124" t="str">
        <f>IF($C124="","",IFERROR($P124*VLOOKUP($C124,'Base Dados NCM'!$A:$B,2,FALSE),"NCM não encontrado"))</f>
        <v/>
      </c>
      <c r="R124" t="str">
        <f>IF($C124="","",IFERROR($P124*VLOOKUP($C124,'Base Dados NCM'!$A:$C,3,FALSE),"NCM não encontrado"))</f>
        <v/>
      </c>
      <c r="S124"/>
      <c r="T124" t="str">
        <f>IF($C124="","",IFERROR($P124*VLOOKUP($C124,'Base Dados NCM'!$A:$D,4,FALSE),"NCM não encontrado"))</f>
        <v/>
      </c>
      <c r="U124"/>
    </row>
    <row r="125" spans="17:21">
      <c r="Q125" t="str">
        <f>IF($C125="","",IFERROR($P125*VLOOKUP($C125,'Base Dados NCM'!$A:$B,2,FALSE),"NCM não encontrado"))</f>
        <v/>
      </c>
      <c r="R125" t="str">
        <f>IF($C125="","",IFERROR($P125*VLOOKUP($C125,'Base Dados NCM'!$A:$C,3,FALSE),"NCM não encontrado"))</f>
        <v/>
      </c>
      <c r="S125"/>
      <c r="T125" t="str">
        <f>IF($C125="","",IFERROR($P125*VLOOKUP($C125,'Base Dados NCM'!$A:$D,4,FALSE),"NCM não encontrado"))</f>
        <v/>
      </c>
      <c r="U125"/>
    </row>
    <row r="126" spans="17:21">
      <c r="Q126" t="str">
        <f>IF($C126="","",IFERROR($P126*VLOOKUP($C126,'Base Dados NCM'!$A:$B,2,FALSE),"NCM não encontrado"))</f>
        <v/>
      </c>
      <c r="R126" t="str">
        <f>IF($C126="","",IFERROR($P126*VLOOKUP($C126,'Base Dados NCM'!$A:$C,3,FALSE),"NCM não encontrado"))</f>
        <v/>
      </c>
      <c r="S126"/>
      <c r="T126" t="str">
        <f>IF($C126="","",IFERROR($P126*VLOOKUP($C126,'Base Dados NCM'!$A:$D,4,FALSE),"NCM não encontrado"))</f>
        <v/>
      </c>
      <c r="U126"/>
    </row>
    <row r="127" spans="17:21">
      <c r="Q127" t="str">
        <f>IF($C127="","",IFERROR($P127*VLOOKUP($C127,'Base Dados NCM'!$A:$B,2,FALSE),"NCM não encontrado"))</f>
        <v/>
      </c>
      <c r="R127" t="str">
        <f>IF($C127="","",IFERROR($P127*VLOOKUP($C127,'Base Dados NCM'!$A:$C,3,FALSE),"NCM não encontrado"))</f>
        <v/>
      </c>
      <c r="S127"/>
      <c r="T127" t="str">
        <f>IF($C127="","",IFERROR($P127*VLOOKUP($C127,'Base Dados NCM'!$A:$D,4,FALSE),"NCM não encontrado"))</f>
        <v/>
      </c>
      <c r="U127"/>
    </row>
    <row r="128" spans="17:21">
      <c r="Q128" t="str">
        <f>IF($C128="","",IFERROR($P128*VLOOKUP($C128,'Base Dados NCM'!$A:$B,2,FALSE),"NCM não encontrado"))</f>
        <v/>
      </c>
      <c r="R128" t="str">
        <f>IF($C128="","",IFERROR($P128*VLOOKUP($C128,'Base Dados NCM'!$A:$C,3,FALSE),"NCM não encontrado"))</f>
        <v/>
      </c>
      <c r="S128"/>
      <c r="T128" t="str">
        <f>IF($C128="","",IFERROR($P128*VLOOKUP($C128,'Base Dados NCM'!$A:$D,4,FALSE),"NCM não encontrado"))</f>
        <v/>
      </c>
      <c r="U128"/>
    </row>
    <row r="129" spans="17:21">
      <c r="Q129" t="str">
        <f>IF($C129="","",IFERROR($P129*VLOOKUP($C129,'Base Dados NCM'!$A:$B,2,FALSE),"NCM não encontrado"))</f>
        <v/>
      </c>
      <c r="R129" t="str">
        <f>IF($C129="","",IFERROR($P129*VLOOKUP($C129,'Base Dados NCM'!$A:$C,3,FALSE),"NCM não encontrado"))</f>
        <v/>
      </c>
      <c r="S129"/>
      <c r="T129" t="str">
        <f>IF($C129="","",IFERROR($P129*VLOOKUP($C129,'Base Dados NCM'!$A:$D,4,FALSE),"NCM não encontrado"))</f>
        <v/>
      </c>
      <c r="U129"/>
    </row>
    <row r="130" spans="17:21">
      <c r="Q130" t="str">
        <f>IF($C130="","",IFERROR($P130*VLOOKUP($C130,'Base Dados NCM'!$A:$B,2,FALSE),"NCM não encontrado"))</f>
        <v/>
      </c>
      <c r="R130" t="str">
        <f>IF($C130="","",IFERROR($P130*VLOOKUP($C130,'Base Dados NCM'!$A:$C,3,FALSE),"NCM não encontrado"))</f>
        <v/>
      </c>
      <c r="S130"/>
      <c r="T130" t="str">
        <f>IF($C130="","",IFERROR($P130*VLOOKUP($C130,'Base Dados NCM'!$A:$D,4,FALSE),"NCM não encontrado"))</f>
        <v/>
      </c>
      <c r="U130"/>
    </row>
    <row r="131" spans="17:21">
      <c r="Q131" t="str">
        <f>IF($C131="","",IFERROR($P131*VLOOKUP($C131,'Base Dados NCM'!$A:$B,2,FALSE),"NCM não encontrado"))</f>
        <v/>
      </c>
      <c r="R131" t="str">
        <f>IF($C131="","",IFERROR($P131*VLOOKUP($C131,'Base Dados NCM'!$A:$C,3,FALSE),"NCM não encontrado"))</f>
        <v/>
      </c>
      <c r="S131"/>
      <c r="T131" t="str">
        <f>IF($C131="","",IFERROR($P131*VLOOKUP($C131,'Base Dados NCM'!$A:$D,4,FALSE),"NCM não encontrado"))</f>
        <v/>
      </c>
      <c r="U131"/>
    </row>
    <row r="132" spans="17:21">
      <c r="Q132" t="str">
        <f>IF($C132="","",IFERROR($P132*VLOOKUP($C132,'Base Dados NCM'!$A:$B,2,FALSE),"NCM não encontrado"))</f>
        <v/>
      </c>
      <c r="R132" t="str">
        <f>IF($C132="","",IFERROR($P132*VLOOKUP($C132,'Base Dados NCM'!$A:$C,3,FALSE),"NCM não encontrado"))</f>
        <v/>
      </c>
      <c r="S132"/>
      <c r="T132" t="str">
        <f>IF($C132="","",IFERROR($P132*VLOOKUP($C132,'Base Dados NCM'!$A:$D,4,FALSE),"NCM não encontrado"))</f>
        <v/>
      </c>
      <c r="U132"/>
    </row>
    <row r="133" spans="17:21">
      <c r="Q133" t="str">
        <f>IF($C133="","",IFERROR($P133*VLOOKUP($C133,'Base Dados NCM'!$A:$B,2,FALSE),"NCM não encontrado"))</f>
        <v/>
      </c>
      <c r="R133" t="str">
        <f>IF($C133="","",IFERROR($P133*VLOOKUP($C133,'Base Dados NCM'!$A:$C,3,FALSE),"NCM não encontrado"))</f>
        <v/>
      </c>
      <c r="S133"/>
      <c r="T133" t="str">
        <f>IF($C133="","",IFERROR($P133*VLOOKUP($C133,'Base Dados NCM'!$A:$D,4,FALSE),"NCM não encontrado"))</f>
        <v/>
      </c>
      <c r="U133"/>
    </row>
    <row r="134" spans="17:21">
      <c r="Q134" t="str">
        <f>IF($C134="","",IFERROR($P134*VLOOKUP($C134,'Base Dados NCM'!$A:$B,2,FALSE),"NCM não encontrado"))</f>
        <v/>
      </c>
      <c r="R134" t="str">
        <f>IF($C134="","",IFERROR($P134*VLOOKUP($C134,'Base Dados NCM'!$A:$C,3,FALSE),"NCM não encontrado"))</f>
        <v/>
      </c>
      <c r="S134"/>
      <c r="T134" t="str">
        <f>IF($C134="","",IFERROR($P134*VLOOKUP($C134,'Base Dados NCM'!$A:$D,4,FALSE),"NCM não encontrado"))</f>
        <v/>
      </c>
      <c r="U134"/>
    </row>
    <row r="135" spans="17:21">
      <c r="Q135" t="str">
        <f>IF($C135="","",IFERROR($P135*VLOOKUP($C135,'Base Dados NCM'!$A:$B,2,FALSE),"NCM não encontrado"))</f>
        <v/>
      </c>
      <c r="R135" t="str">
        <f>IF($C135="","",IFERROR($P135*VLOOKUP($C135,'Base Dados NCM'!$A:$C,3,FALSE),"NCM não encontrado"))</f>
        <v/>
      </c>
      <c r="S135"/>
      <c r="T135" t="str">
        <f>IF($C135="","",IFERROR($P135*VLOOKUP($C135,'Base Dados NCM'!$A:$D,4,FALSE),"NCM não encontrado"))</f>
        <v/>
      </c>
      <c r="U135"/>
    </row>
    <row r="136" spans="17:21">
      <c r="Q136" t="str">
        <f>IF($C136="","",IFERROR($P136*VLOOKUP($C136,'Base Dados NCM'!$A:$B,2,FALSE),"NCM não encontrado"))</f>
        <v/>
      </c>
      <c r="R136" t="str">
        <f>IF($C136="","",IFERROR($P136*VLOOKUP($C136,'Base Dados NCM'!$A:$C,3,FALSE),"NCM não encontrado"))</f>
        <v/>
      </c>
      <c r="S136"/>
      <c r="T136" t="str">
        <f>IF($C136="","",IFERROR($P136*VLOOKUP($C136,'Base Dados NCM'!$A:$D,4,FALSE),"NCM não encontrado"))</f>
        <v/>
      </c>
      <c r="U136"/>
    </row>
    <row r="137" spans="17:21">
      <c r="Q137" t="str">
        <f>IF($C137="","",IFERROR($P137*VLOOKUP($C137,'Base Dados NCM'!$A:$B,2,FALSE),"NCM não encontrado"))</f>
        <v/>
      </c>
      <c r="R137" t="str">
        <f>IF($C137="","",IFERROR($P137*VLOOKUP($C137,'Base Dados NCM'!$A:$C,3,FALSE),"NCM não encontrado"))</f>
        <v/>
      </c>
      <c r="S137"/>
      <c r="T137" t="str">
        <f>IF($C137="","",IFERROR($P137*VLOOKUP($C137,'Base Dados NCM'!$A:$D,4,FALSE),"NCM não encontrado"))</f>
        <v/>
      </c>
      <c r="U137"/>
    </row>
    <row r="138" spans="17:21">
      <c r="Q138" t="str">
        <f>IF($C138="","",IFERROR($P138*VLOOKUP($C138,'Base Dados NCM'!$A:$B,2,FALSE),"NCM não encontrado"))</f>
        <v/>
      </c>
      <c r="R138" t="str">
        <f>IF($C138="","",IFERROR($P138*VLOOKUP($C138,'Base Dados NCM'!$A:$C,3,FALSE),"NCM não encontrado"))</f>
        <v/>
      </c>
      <c r="S138"/>
      <c r="T138" t="str">
        <f>IF($C138="","",IFERROR($P138*VLOOKUP($C138,'Base Dados NCM'!$A:$D,4,FALSE),"NCM não encontrado"))</f>
        <v/>
      </c>
      <c r="U138"/>
    </row>
    <row r="139" spans="17:21">
      <c r="Q139" t="str">
        <f>IF($C139="","",IFERROR($P139*VLOOKUP($C139,'Base Dados NCM'!$A:$B,2,FALSE),"NCM não encontrado"))</f>
        <v/>
      </c>
      <c r="R139" t="str">
        <f>IF($C139="","",IFERROR($P139*VLOOKUP($C139,'Base Dados NCM'!$A:$C,3,FALSE),"NCM não encontrado"))</f>
        <v/>
      </c>
      <c r="S139"/>
      <c r="T139" t="str">
        <f>IF($C139="","",IFERROR($P139*VLOOKUP($C139,'Base Dados NCM'!$A:$D,4,FALSE),"NCM não encontrado"))</f>
        <v/>
      </c>
      <c r="U139"/>
    </row>
    <row r="140" spans="17:21">
      <c r="Q140" t="str">
        <f>IF($C140="","",IFERROR($P140*VLOOKUP($C140,'Base Dados NCM'!$A:$B,2,FALSE),"NCM não encontrado"))</f>
        <v/>
      </c>
      <c r="R140" t="str">
        <f>IF($C140="","",IFERROR($P140*VLOOKUP($C140,'Base Dados NCM'!$A:$C,3,FALSE),"NCM não encontrado"))</f>
        <v/>
      </c>
      <c r="S140"/>
      <c r="T140" t="str">
        <f>IF($C140="","",IFERROR($P140*VLOOKUP($C140,'Base Dados NCM'!$A:$D,4,FALSE),"NCM não encontrado"))</f>
        <v/>
      </c>
      <c r="U140"/>
    </row>
    <row r="141" spans="17:21">
      <c r="Q141" t="str">
        <f>IF($C141="","",IFERROR($P141*VLOOKUP($C141,'Base Dados NCM'!$A:$B,2,FALSE),"NCM não encontrado"))</f>
        <v/>
      </c>
      <c r="R141" t="str">
        <f>IF($C141="","",IFERROR($P141*VLOOKUP($C141,'Base Dados NCM'!$A:$C,3,FALSE),"NCM não encontrado"))</f>
        <v/>
      </c>
      <c r="S141"/>
      <c r="T141" t="str">
        <f>IF($C141="","",IFERROR($P141*VLOOKUP($C141,'Base Dados NCM'!$A:$D,4,FALSE),"NCM não encontrado"))</f>
        <v/>
      </c>
      <c r="U141"/>
    </row>
    <row r="142" spans="17:21">
      <c r="Q142" t="str">
        <f>IF($C142="","",IFERROR($P142*VLOOKUP($C142,'Base Dados NCM'!$A:$B,2,FALSE),"NCM não encontrado"))</f>
        <v/>
      </c>
      <c r="R142" t="str">
        <f>IF($C142="","",IFERROR($P142*VLOOKUP($C142,'Base Dados NCM'!$A:$C,3,FALSE),"NCM não encontrado"))</f>
        <v/>
      </c>
      <c r="S142"/>
      <c r="T142" t="str">
        <f>IF($C142="","",IFERROR($P142*VLOOKUP($C142,'Base Dados NCM'!$A:$D,4,FALSE),"NCM não encontrado"))</f>
        <v/>
      </c>
      <c r="U142"/>
    </row>
    <row r="143" spans="17:21">
      <c r="Q143" t="str">
        <f>IF($C143="","",IFERROR($P143*VLOOKUP($C143,'Base Dados NCM'!$A:$B,2,FALSE),"NCM não encontrado"))</f>
        <v/>
      </c>
      <c r="R143" t="str">
        <f>IF($C143="","",IFERROR($P143*VLOOKUP($C143,'Base Dados NCM'!$A:$C,3,FALSE),"NCM não encontrado"))</f>
        <v/>
      </c>
      <c r="S143"/>
      <c r="T143" t="str">
        <f>IF($C143="","",IFERROR($P143*VLOOKUP($C143,'Base Dados NCM'!$A:$D,4,FALSE),"NCM não encontrado"))</f>
        <v/>
      </c>
      <c r="U143"/>
    </row>
    <row r="144" spans="17:21">
      <c r="Q144" t="str">
        <f>IF($C144="","",IFERROR($P144*VLOOKUP($C144,'Base Dados NCM'!$A:$B,2,FALSE),"NCM não encontrado"))</f>
        <v/>
      </c>
      <c r="R144" t="str">
        <f>IF($C144="","",IFERROR($P144*VLOOKUP($C144,'Base Dados NCM'!$A:$C,3,FALSE),"NCM não encontrado"))</f>
        <v/>
      </c>
      <c r="S144"/>
      <c r="T144" t="str">
        <f>IF($C144="","",IFERROR($P144*VLOOKUP($C144,'Base Dados NCM'!$A:$D,4,FALSE),"NCM não encontrado"))</f>
        <v/>
      </c>
      <c r="U144"/>
    </row>
    <row r="145" spans="17:21">
      <c r="Q145" t="str">
        <f>IF($C145="","",IFERROR($P145*VLOOKUP($C145,'Base Dados NCM'!$A:$B,2,FALSE),"NCM não encontrado"))</f>
        <v/>
      </c>
      <c r="R145" t="str">
        <f>IF($C145="","",IFERROR($P145*VLOOKUP($C145,'Base Dados NCM'!$A:$C,3,FALSE),"NCM não encontrado"))</f>
        <v/>
      </c>
      <c r="S145"/>
      <c r="T145" t="str">
        <f>IF($C145="","",IFERROR($P145*VLOOKUP($C145,'Base Dados NCM'!$A:$D,4,FALSE),"NCM não encontrado"))</f>
        <v/>
      </c>
      <c r="U145"/>
    </row>
    <row r="146" spans="17:21">
      <c r="Q146" t="str">
        <f>IF($C146="","",IFERROR($P146*VLOOKUP($C146,'Base Dados NCM'!$A:$B,2,FALSE),"NCM não encontrado"))</f>
        <v/>
      </c>
      <c r="R146" t="str">
        <f>IF($C146="","",IFERROR($P146*VLOOKUP($C146,'Base Dados NCM'!$A:$C,3,FALSE),"NCM não encontrado"))</f>
        <v/>
      </c>
      <c r="S146"/>
      <c r="T146" t="str">
        <f>IF($C146="","",IFERROR($P146*VLOOKUP($C146,'Base Dados NCM'!$A:$D,4,FALSE),"NCM não encontrado"))</f>
        <v/>
      </c>
      <c r="U146"/>
    </row>
    <row r="147" spans="17:21">
      <c r="Q147" t="str">
        <f>IF($C147="","",IFERROR($P147*VLOOKUP($C147,'Base Dados NCM'!$A:$B,2,FALSE),"NCM não encontrado"))</f>
        <v/>
      </c>
      <c r="R147" t="str">
        <f>IF($C147="","",IFERROR($P147*VLOOKUP($C147,'Base Dados NCM'!$A:$C,3,FALSE),"NCM não encontrado"))</f>
        <v/>
      </c>
      <c r="S147"/>
      <c r="T147" t="str">
        <f>IF($C147="","",IFERROR($P147*VLOOKUP($C147,'Base Dados NCM'!$A:$D,4,FALSE),"NCM não encontrado"))</f>
        <v/>
      </c>
      <c r="U147"/>
    </row>
    <row r="148" spans="17:21">
      <c r="Q148" t="str">
        <f>IF($C148="","",IFERROR($P148*VLOOKUP($C148,'Base Dados NCM'!$A:$B,2,FALSE),"NCM não encontrado"))</f>
        <v/>
      </c>
      <c r="R148" t="str">
        <f>IF($C148="","",IFERROR($P148*VLOOKUP($C148,'Base Dados NCM'!$A:$C,3,FALSE),"NCM não encontrado"))</f>
        <v/>
      </c>
      <c r="S148"/>
      <c r="T148" t="str">
        <f>IF($C148="","",IFERROR($P148*VLOOKUP($C148,'Base Dados NCM'!$A:$D,4,FALSE),"NCM não encontrado"))</f>
        <v/>
      </c>
      <c r="U148"/>
    </row>
    <row r="149" spans="17:21">
      <c r="Q149" t="str">
        <f>IF($C149="","",IFERROR($P149*VLOOKUP($C149,'Base Dados NCM'!$A:$B,2,FALSE),"NCM não encontrado"))</f>
        <v/>
      </c>
      <c r="R149" t="str">
        <f>IF($C149="","",IFERROR($P149*VLOOKUP($C149,'Base Dados NCM'!$A:$C,3,FALSE),"NCM não encontrado"))</f>
        <v/>
      </c>
      <c r="S149"/>
      <c r="T149" t="str">
        <f>IF($C149="","",IFERROR($P149*VLOOKUP($C149,'Base Dados NCM'!$A:$D,4,FALSE),"NCM não encontrado"))</f>
        <v/>
      </c>
      <c r="U149"/>
    </row>
    <row r="150" spans="17:21">
      <c r="Q150" t="str">
        <f>IF($C150="","",IFERROR($P150*VLOOKUP($C150,'Base Dados NCM'!$A:$B,2,FALSE),"NCM não encontrado"))</f>
        <v/>
      </c>
      <c r="R150" t="str">
        <f>IF($C150="","",IFERROR($P150*VLOOKUP($C150,'Base Dados NCM'!$A:$C,3,FALSE),"NCM não encontrado"))</f>
        <v/>
      </c>
      <c r="S150"/>
      <c r="T150" t="str">
        <f>IF($C150="","",IFERROR($P150*VLOOKUP($C150,'Base Dados NCM'!$A:$D,4,FALSE),"NCM não encontrado"))</f>
        <v/>
      </c>
      <c r="U150"/>
    </row>
    <row r="151" spans="17:21">
      <c r="Q151" t="str">
        <f>IF($C151="","",IFERROR($P151*VLOOKUP($C151,'Base Dados NCM'!$A:$B,2,FALSE),"NCM não encontrado"))</f>
        <v/>
      </c>
      <c r="R151" t="str">
        <f>IF($C151="","",IFERROR($P151*VLOOKUP($C151,'Base Dados NCM'!$A:$C,3,FALSE),"NCM não encontrado"))</f>
        <v/>
      </c>
      <c r="S151"/>
      <c r="T151" t="str">
        <f>IF($C151="","",IFERROR($P151*VLOOKUP($C151,'Base Dados NCM'!$A:$D,4,FALSE),"NCM não encontrado"))</f>
        <v/>
      </c>
      <c r="U151"/>
    </row>
    <row r="152" spans="17:21">
      <c r="Q152" t="str">
        <f>IF($C152="","",IFERROR($P152*VLOOKUP($C152,'Base Dados NCM'!$A:$B,2,FALSE),"NCM não encontrado"))</f>
        <v/>
      </c>
      <c r="R152" t="str">
        <f>IF($C152="","",IFERROR($P152*VLOOKUP($C152,'Base Dados NCM'!$A:$C,3,FALSE),"NCM não encontrado"))</f>
        <v/>
      </c>
      <c r="S152"/>
      <c r="T152" t="str">
        <f>IF($C152="","",IFERROR($P152*VLOOKUP($C152,'Base Dados NCM'!$A:$D,4,FALSE),"NCM não encontrado"))</f>
        <v/>
      </c>
      <c r="U152"/>
    </row>
    <row r="153" spans="17:21">
      <c r="Q153" t="str">
        <f>IF($C153="","",IFERROR($P153*VLOOKUP($C153,'Base Dados NCM'!$A:$B,2,FALSE),"NCM não encontrado"))</f>
        <v/>
      </c>
      <c r="R153" t="str">
        <f>IF($C153="","",IFERROR($P153*VLOOKUP($C153,'Base Dados NCM'!$A:$C,3,FALSE),"NCM não encontrado"))</f>
        <v/>
      </c>
      <c r="S153"/>
      <c r="T153" t="str">
        <f>IF($C153="","",IFERROR($P153*VLOOKUP($C153,'Base Dados NCM'!$A:$D,4,FALSE),"NCM não encontrado"))</f>
        <v/>
      </c>
      <c r="U153"/>
    </row>
    <row r="154" spans="17:21">
      <c r="Q154" t="str">
        <f>IF($C154="","",IFERROR($P154*VLOOKUP($C154,'Base Dados NCM'!$A:$B,2,FALSE),"NCM não encontrado"))</f>
        <v/>
      </c>
      <c r="R154" t="str">
        <f>IF($C154="","",IFERROR($P154*VLOOKUP($C154,'Base Dados NCM'!$A:$C,3,FALSE),"NCM não encontrado"))</f>
        <v/>
      </c>
      <c r="S154"/>
      <c r="T154" t="str">
        <f>IF($C154="","",IFERROR($P154*VLOOKUP($C154,'Base Dados NCM'!$A:$D,4,FALSE),"NCM não encontrado"))</f>
        <v/>
      </c>
      <c r="U154"/>
    </row>
    <row r="155" spans="17:21">
      <c r="Q155" t="str">
        <f>IF($C155="","",IFERROR($P155*VLOOKUP($C155,'Base Dados NCM'!$A:$B,2,FALSE),"NCM não encontrado"))</f>
        <v/>
      </c>
      <c r="R155" t="str">
        <f>IF($C155="","",IFERROR($P155*VLOOKUP($C155,'Base Dados NCM'!$A:$C,3,FALSE),"NCM não encontrado"))</f>
        <v/>
      </c>
      <c r="S155"/>
      <c r="T155" t="str">
        <f>IF($C155="","",IFERROR($P155*VLOOKUP($C155,'Base Dados NCM'!$A:$D,4,FALSE),"NCM não encontrado"))</f>
        <v/>
      </c>
      <c r="U155"/>
    </row>
    <row r="156" spans="17:21">
      <c r="Q156" t="str">
        <f>IF($C156="","",IFERROR($P156*VLOOKUP($C156,'Base Dados NCM'!$A:$B,2,FALSE),"NCM não encontrado"))</f>
        <v/>
      </c>
      <c r="R156" t="str">
        <f>IF($C156="","",IFERROR($P156*VLOOKUP($C156,'Base Dados NCM'!$A:$C,3,FALSE),"NCM não encontrado"))</f>
        <v/>
      </c>
      <c r="S156"/>
      <c r="T156" t="str">
        <f>IF($C156="","",IFERROR($P156*VLOOKUP($C156,'Base Dados NCM'!$A:$D,4,FALSE),"NCM não encontrado"))</f>
        <v/>
      </c>
      <c r="U156"/>
    </row>
    <row r="157" spans="17:21">
      <c r="Q157" t="str">
        <f>IF($C157="","",IFERROR($P157*VLOOKUP($C157,'Base Dados NCM'!$A:$B,2,FALSE),"NCM não encontrado"))</f>
        <v/>
      </c>
      <c r="R157" t="str">
        <f>IF($C157="","",IFERROR($P157*VLOOKUP($C157,'Base Dados NCM'!$A:$C,3,FALSE),"NCM não encontrado"))</f>
        <v/>
      </c>
      <c r="S157"/>
      <c r="T157" t="str">
        <f>IF($C157="","",IFERROR($P157*VLOOKUP($C157,'Base Dados NCM'!$A:$D,4,FALSE),"NCM não encontrado"))</f>
        <v/>
      </c>
      <c r="U157"/>
    </row>
    <row r="158" spans="17:21">
      <c r="Q158" t="str">
        <f>IF($C158="","",IFERROR($P158*VLOOKUP($C158,'Base Dados NCM'!$A:$B,2,FALSE),"NCM não encontrado"))</f>
        <v/>
      </c>
      <c r="R158" t="str">
        <f>IF($C158="","",IFERROR($P158*VLOOKUP($C158,'Base Dados NCM'!$A:$C,3,FALSE),"NCM não encontrado"))</f>
        <v/>
      </c>
      <c r="S158"/>
      <c r="T158" t="str">
        <f>IF($C158="","",IFERROR($P158*VLOOKUP($C158,'Base Dados NCM'!$A:$D,4,FALSE),"NCM não encontrado"))</f>
        <v/>
      </c>
      <c r="U158"/>
    </row>
    <row r="159" spans="17:21">
      <c r="Q159" t="str">
        <f>IF($C159="","",IFERROR($P159*VLOOKUP($C159,'Base Dados NCM'!$A:$B,2,FALSE),"NCM não encontrado"))</f>
        <v/>
      </c>
      <c r="R159" t="str">
        <f>IF($C159="","",IFERROR($P159*VLOOKUP($C159,'Base Dados NCM'!$A:$C,3,FALSE),"NCM não encontrado"))</f>
        <v/>
      </c>
      <c r="S159"/>
      <c r="T159" t="str">
        <f>IF($C159="","",IFERROR($P159*VLOOKUP($C159,'Base Dados NCM'!$A:$D,4,FALSE),"NCM não encontrado"))</f>
        <v/>
      </c>
      <c r="U159"/>
    </row>
    <row r="160" spans="17:21">
      <c r="Q160" t="str">
        <f>IF($C160="","",IFERROR($P160*VLOOKUP($C160,'Base Dados NCM'!$A:$B,2,FALSE),"NCM não encontrado"))</f>
        <v/>
      </c>
      <c r="R160" t="str">
        <f>IF($C160="","",IFERROR($P160*VLOOKUP($C160,'Base Dados NCM'!$A:$C,3,FALSE),"NCM não encontrado"))</f>
        <v/>
      </c>
      <c r="S160"/>
      <c r="T160" t="str">
        <f>IF($C160="","",IFERROR($P160*VLOOKUP($C160,'Base Dados NCM'!$A:$D,4,FALSE),"NCM não encontrado"))</f>
        <v/>
      </c>
      <c r="U160"/>
    </row>
    <row r="161" spans="17:21">
      <c r="Q161" t="str">
        <f>IF($C161="","",IFERROR($P161*VLOOKUP($C161,'Base Dados NCM'!$A:$B,2,FALSE),"NCM não encontrado"))</f>
        <v/>
      </c>
      <c r="R161" t="str">
        <f>IF($C161="","",IFERROR($P161*VLOOKUP($C161,'Base Dados NCM'!$A:$C,3,FALSE),"NCM não encontrado"))</f>
        <v/>
      </c>
      <c r="S161"/>
      <c r="T161" t="str">
        <f>IF($C161="","",IFERROR($P161*VLOOKUP($C161,'Base Dados NCM'!$A:$D,4,FALSE),"NCM não encontrado"))</f>
        <v/>
      </c>
      <c r="U161"/>
    </row>
    <row r="162" spans="17:21">
      <c r="Q162" t="str">
        <f>IF($C162="","",IFERROR($P162*VLOOKUP($C162,'Base Dados NCM'!$A:$B,2,FALSE),"NCM não encontrado"))</f>
        <v/>
      </c>
      <c r="R162" t="str">
        <f>IF($C162="","",IFERROR($P162*VLOOKUP($C162,'Base Dados NCM'!$A:$C,3,FALSE),"NCM não encontrado"))</f>
        <v/>
      </c>
      <c r="S162"/>
      <c r="T162" t="str">
        <f>IF($C162="","",IFERROR($P162*VLOOKUP($C162,'Base Dados NCM'!$A:$D,4,FALSE),"NCM não encontrado"))</f>
        <v/>
      </c>
      <c r="U162"/>
    </row>
    <row r="163" spans="17:21">
      <c r="Q163" t="str">
        <f>IF($C163="","",IFERROR($P163*VLOOKUP($C163,'Base Dados NCM'!$A:$B,2,FALSE),"NCM não encontrado"))</f>
        <v/>
      </c>
      <c r="R163" t="str">
        <f>IF($C163="","",IFERROR($P163*VLOOKUP($C163,'Base Dados NCM'!$A:$C,3,FALSE),"NCM não encontrado"))</f>
        <v/>
      </c>
      <c r="S163"/>
      <c r="T163" t="str">
        <f>IF($C163="","",IFERROR($P163*VLOOKUP($C163,'Base Dados NCM'!$A:$D,4,FALSE),"NCM não encontrado"))</f>
        <v/>
      </c>
      <c r="U163"/>
    </row>
    <row r="164" spans="17:21">
      <c r="Q164" t="str">
        <f>IF($C164="","",IFERROR($P164*VLOOKUP($C164,'Base Dados NCM'!$A:$B,2,FALSE),"NCM não encontrado"))</f>
        <v/>
      </c>
      <c r="R164" t="str">
        <f>IF($C164="","",IFERROR($P164*VLOOKUP($C164,'Base Dados NCM'!$A:$C,3,FALSE),"NCM não encontrado"))</f>
        <v/>
      </c>
      <c r="S164"/>
      <c r="T164" t="str">
        <f>IF($C164="","",IFERROR($P164*VLOOKUP($C164,'Base Dados NCM'!$A:$D,4,FALSE),"NCM não encontrado"))</f>
        <v/>
      </c>
      <c r="U164"/>
    </row>
    <row r="165" spans="17:21">
      <c r="Q165" t="str">
        <f>IF($C165="","",IFERROR($P165*VLOOKUP($C165,'Base Dados NCM'!$A:$B,2,FALSE),"NCM não encontrado"))</f>
        <v/>
      </c>
      <c r="R165" t="str">
        <f>IF($C165="","",IFERROR($P165*VLOOKUP($C165,'Base Dados NCM'!$A:$C,3,FALSE),"NCM não encontrado"))</f>
        <v/>
      </c>
      <c r="S165"/>
      <c r="T165" t="str">
        <f>IF($C165="","",IFERROR($P165*VLOOKUP($C165,'Base Dados NCM'!$A:$D,4,FALSE),"NCM não encontrado"))</f>
        <v/>
      </c>
      <c r="U165"/>
    </row>
    <row r="166" spans="17:21">
      <c r="Q166" t="str">
        <f>IF($C166="","",IFERROR($P166*VLOOKUP($C166,'Base Dados NCM'!$A:$B,2,FALSE),"NCM não encontrado"))</f>
        <v/>
      </c>
      <c r="R166" t="str">
        <f>IF($C166="","",IFERROR($P166*VLOOKUP($C166,'Base Dados NCM'!$A:$C,3,FALSE),"NCM não encontrado"))</f>
        <v/>
      </c>
      <c r="S166"/>
      <c r="T166" t="str">
        <f>IF($C166="","",IFERROR($P166*VLOOKUP($C166,'Base Dados NCM'!$A:$D,4,FALSE),"NCM não encontrado"))</f>
        <v/>
      </c>
      <c r="U166"/>
    </row>
    <row r="167" spans="17:21">
      <c r="Q167" t="str">
        <f>IF($C167="","",IFERROR($P167*VLOOKUP($C167,'Base Dados NCM'!$A:$B,2,FALSE),"NCM não encontrado"))</f>
        <v/>
      </c>
      <c r="R167" t="str">
        <f>IF($C167="","",IFERROR($P167*VLOOKUP($C167,'Base Dados NCM'!$A:$C,3,FALSE),"NCM não encontrado"))</f>
        <v/>
      </c>
      <c r="S167"/>
      <c r="T167" t="str">
        <f>IF($C167="","",IFERROR($P167*VLOOKUP($C167,'Base Dados NCM'!$A:$D,4,FALSE),"NCM não encontrado"))</f>
        <v/>
      </c>
      <c r="U167"/>
    </row>
    <row r="168" spans="17:21">
      <c r="Q168" t="str">
        <f>IF($C168="","",IFERROR($P168*VLOOKUP($C168,'Base Dados NCM'!$A:$B,2,FALSE),"NCM não encontrado"))</f>
        <v/>
      </c>
      <c r="R168" t="str">
        <f>IF($C168="","",IFERROR($P168*VLOOKUP($C168,'Base Dados NCM'!$A:$C,3,FALSE),"NCM não encontrado"))</f>
        <v/>
      </c>
      <c r="S168"/>
      <c r="T168" t="str">
        <f>IF($C168="","",IFERROR($P168*VLOOKUP($C168,'Base Dados NCM'!$A:$D,4,FALSE),"NCM não encontrado"))</f>
        <v/>
      </c>
      <c r="U168"/>
    </row>
    <row r="169" spans="17:21">
      <c r="Q169" t="str">
        <f>IF($C169="","",IFERROR($P169*VLOOKUP($C169,'Base Dados NCM'!$A:$B,2,FALSE),"NCM não encontrado"))</f>
        <v/>
      </c>
      <c r="R169" t="str">
        <f>IF($C169="","",IFERROR($P169*VLOOKUP($C169,'Base Dados NCM'!$A:$C,3,FALSE),"NCM não encontrado"))</f>
        <v/>
      </c>
      <c r="S169"/>
      <c r="T169" t="str">
        <f>IF($C169="","",IFERROR($P169*VLOOKUP($C169,'Base Dados NCM'!$A:$D,4,FALSE),"NCM não encontrado"))</f>
        <v/>
      </c>
      <c r="U169"/>
    </row>
    <row r="170" spans="17:21">
      <c r="Q170" t="str">
        <f>IF($C170="","",IFERROR($P170*VLOOKUP($C170,'Base Dados NCM'!$A:$B,2,FALSE),"NCM não encontrado"))</f>
        <v/>
      </c>
      <c r="R170" t="str">
        <f>IF($C170="","",IFERROR($P170*VLOOKUP($C170,'Base Dados NCM'!$A:$C,3,FALSE),"NCM não encontrado"))</f>
        <v/>
      </c>
      <c r="S170"/>
      <c r="T170" t="str">
        <f>IF($C170="","",IFERROR($P170*VLOOKUP($C170,'Base Dados NCM'!$A:$D,4,FALSE),"NCM não encontrado"))</f>
        <v/>
      </c>
      <c r="U170"/>
    </row>
    <row r="171" spans="17:21">
      <c r="Q171" t="str">
        <f>IF($C171="","",IFERROR($P171*VLOOKUP($C171,'Base Dados NCM'!$A:$B,2,FALSE),"NCM não encontrado"))</f>
        <v/>
      </c>
      <c r="R171" t="str">
        <f>IF($C171="","",IFERROR($P171*VLOOKUP($C171,'Base Dados NCM'!$A:$C,3,FALSE),"NCM não encontrado"))</f>
        <v/>
      </c>
      <c r="S171"/>
      <c r="T171" t="str">
        <f>IF($C171="","",IFERROR($P171*VLOOKUP($C171,'Base Dados NCM'!$A:$D,4,FALSE),"NCM não encontrado"))</f>
        <v/>
      </c>
      <c r="U171"/>
    </row>
    <row r="172" spans="17:21">
      <c r="Q172" t="str">
        <f>IF($C172="","",IFERROR($P172*VLOOKUP($C172,'Base Dados NCM'!$A:$B,2,FALSE),"NCM não encontrado"))</f>
        <v/>
      </c>
      <c r="R172" t="str">
        <f>IF($C172="","",IFERROR($P172*VLOOKUP($C172,'Base Dados NCM'!$A:$C,3,FALSE),"NCM não encontrado"))</f>
        <v/>
      </c>
      <c r="S172"/>
      <c r="T172" t="str">
        <f>IF($C172="","",IFERROR($P172*VLOOKUP($C172,'Base Dados NCM'!$A:$D,4,FALSE),"NCM não encontrado"))</f>
        <v/>
      </c>
      <c r="U172"/>
    </row>
    <row r="173" spans="17:21">
      <c r="Q173" t="str">
        <f>IF($C173="","",IFERROR($P173*VLOOKUP($C173,'Base Dados NCM'!$A:$B,2,FALSE),"NCM não encontrado"))</f>
        <v/>
      </c>
      <c r="R173" t="str">
        <f>IF($C173="","",IFERROR($P173*VLOOKUP($C173,'Base Dados NCM'!$A:$C,3,FALSE),"NCM não encontrado"))</f>
        <v/>
      </c>
      <c r="S173"/>
      <c r="T173" t="str">
        <f>IF($C173="","",IFERROR($P173*VLOOKUP($C173,'Base Dados NCM'!$A:$D,4,FALSE),"NCM não encontrado"))</f>
        <v/>
      </c>
      <c r="U173"/>
    </row>
    <row r="174" spans="17:21">
      <c r="Q174" t="str">
        <f>IF($C174="","",IFERROR($P174*VLOOKUP($C174,'Base Dados NCM'!$A:$B,2,FALSE),"NCM não encontrado"))</f>
        <v/>
      </c>
      <c r="R174" t="str">
        <f>IF($C174="","",IFERROR($P174*VLOOKUP($C174,'Base Dados NCM'!$A:$C,3,FALSE),"NCM não encontrado"))</f>
        <v/>
      </c>
      <c r="S174"/>
      <c r="T174" t="str">
        <f>IF($C174="","",IFERROR($P174*VLOOKUP($C174,'Base Dados NCM'!$A:$D,4,FALSE),"NCM não encontrado"))</f>
        <v/>
      </c>
      <c r="U174"/>
    </row>
    <row r="175" spans="17:21">
      <c r="Q175" t="str">
        <f>IF($C175="","",IFERROR($P175*VLOOKUP($C175,'Base Dados NCM'!$A:$B,2,FALSE),"NCM não encontrado"))</f>
        <v/>
      </c>
      <c r="R175" t="str">
        <f>IF($C175="","",IFERROR($P175*VLOOKUP($C175,'Base Dados NCM'!$A:$C,3,FALSE),"NCM não encontrado"))</f>
        <v/>
      </c>
      <c r="S175"/>
      <c r="T175" t="str">
        <f>IF($C175="","",IFERROR($P175*VLOOKUP($C175,'Base Dados NCM'!$A:$D,4,FALSE),"NCM não encontrado"))</f>
        <v/>
      </c>
      <c r="U175"/>
    </row>
    <row r="176" spans="17:21">
      <c r="Q176" t="str">
        <f>IF($C176="","",IFERROR($P176*VLOOKUP($C176,'Base Dados NCM'!$A:$B,2,FALSE),"NCM não encontrado"))</f>
        <v/>
      </c>
      <c r="R176" t="str">
        <f>IF($C176="","",IFERROR($P176*VLOOKUP($C176,'Base Dados NCM'!$A:$C,3,FALSE),"NCM não encontrado"))</f>
        <v/>
      </c>
      <c r="S176"/>
      <c r="T176" t="str">
        <f>IF($C176="","",IFERROR($P176*VLOOKUP($C176,'Base Dados NCM'!$A:$D,4,FALSE),"NCM não encontrado"))</f>
        <v/>
      </c>
      <c r="U176"/>
    </row>
    <row r="177" spans="17:21">
      <c r="Q177" t="str">
        <f>IF($C177="","",IFERROR($P177*VLOOKUP($C177,'Base Dados NCM'!$A:$B,2,FALSE),"NCM não encontrado"))</f>
        <v/>
      </c>
      <c r="R177" t="str">
        <f>IF($C177="","",IFERROR($P177*VLOOKUP($C177,'Base Dados NCM'!$A:$C,3,FALSE),"NCM não encontrado"))</f>
        <v/>
      </c>
      <c r="S177"/>
      <c r="T177" t="str">
        <f>IF($C177="","",IFERROR($P177*VLOOKUP($C177,'Base Dados NCM'!$A:$D,4,FALSE),"NCM não encontrado"))</f>
        <v/>
      </c>
      <c r="U177"/>
    </row>
    <row r="178" spans="17:21">
      <c r="Q178" t="str">
        <f>IF($C178="","",IFERROR($P178*VLOOKUP($C178,'Base Dados NCM'!$A:$B,2,FALSE),"NCM não encontrado"))</f>
        <v/>
      </c>
      <c r="R178" t="str">
        <f>IF($C178="","",IFERROR($P178*VLOOKUP($C178,'Base Dados NCM'!$A:$C,3,FALSE),"NCM não encontrado"))</f>
        <v/>
      </c>
      <c r="S178"/>
      <c r="T178" t="str">
        <f>IF($C178="","",IFERROR($P178*VLOOKUP($C178,'Base Dados NCM'!$A:$D,4,FALSE),"NCM não encontrado"))</f>
        <v/>
      </c>
      <c r="U178"/>
    </row>
    <row r="179" spans="17:21">
      <c r="Q179" t="str">
        <f>IF($C179="","",IFERROR($P179*VLOOKUP($C179,'Base Dados NCM'!$A:$B,2,FALSE),"NCM não encontrado"))</f>
        <v/>
      </c>
      <c r="R179" t="str">
        <f>IF($C179="","",IFERROR($P179*VLOOKUP($C179,'Base Dados NCM'!$A:$C,3,FALSE),"NCM não encontrado"))</f>
        <v/>
      </c>
      <c r="S179"/>
      <c r="T179" t="str">
        <f>IF($C179="","",IFERROR($P179*VLOOKUP($C179,'Base Dados NCM'!$A:$D,4,FALSE),"NCM não encontrado"))</f>
        <v/>
      </c>
      <c r="U179"/>
    </row>
    <row r="180" spans="17:21">
      <c r="Q180" t="str">
        <f>IF($C180="","",IFERROR($P180*VLOOKUP($C180,'Base Dados NCM'!$A:$B,2,FALSE),"NCM não encontrado"))</f>
        <v/>
      </c>
      <c r="R180" t="str">
        <f>IF($C180="","",IFERROR($P180*VLOOKUP($C180,'Base Dados NCM'!$A:$C,3,FALSE),"NCM não encontrado"))</f>
        <v/>
      </c>
      <c r="S180"/>
      <c r="T180" t="str">
        <f>IF($C180="","",IFERROR($P180*VLOOKUP($C180,'Base Dados NCM'!$A:$D,4,FALSE),"NCM não encontrado"))</f>
        <v/>
      </c>
      <c r="U180"/>
    </row>
    <row r="181" spans="17:21">
      <c r="Q181" t="str">
        <f>IF($C181="","",IFERROR($P181*VLOOKUP($C181,'Base Dados NCM'!$A:$B,2,FALSE),"NCM não encontrado"))</f>
        <v/>
      </c>
      <c r="R181" t="str">
        <f>IF($C181="","",IFERROR($P181*VLOOKUP($C181,'Base Dados NCM'!$A:$C,3,FALSE),"NCM não encontrado"))</f>
        <v/>
      </c>
      <c r="S181"/>
      <c r="T181" t="str">
        <f>IF($C181="","",IFERROR($P181*VLOOKUP($C181,'Base Dados NCM'!$A:$D,4,FALSE),"NCM não encontrado"))</f>
        <v/>
      </c>
      <c r="U181"/>
    </row>
    <row r="182" spans="17:21">
      <c r="Q182" t="str">
        <f>IF($C182="","",IFERROR($P182*VLOOKUP($C182,'Base Dados NCM'!$A:$B,2,FALSE),"NCM não encontrado"))</f>
        <v/>
      </c>
      <c r="R182" t="str">
        <f>IF($C182="","",IFERROR($P182*VLOOKUP($C182,'Base Dados NCM'!$A:$C,3,FALSE),"NCM não encontrado"))</f>
        <v/>
      </c>
      <c r="S182"/>
      <c r="T182" t="str">
        <f>IF($C182="","",IFERROR($P182*VLOOKUP($C182,'Base Dados NCM'!$A:$D,4,FALSE),"NCM não encontrado"))</f>
        <v/>
      </c>
      <c r="U182"/>
    </row>
    <row r="183" spans="17:21">
      <c r="Q183" t="str">
        <f>IF($C183="","",IFERROR($P183*VLOOKUP($C183,'Base Dados NCM'!$A:$B,2,FALSE),"NCM não encontrado"))</f>
        <v/>
      </c>
      <c r="R183" t="str">
        <f>IF($C183="","",IFERROR($P183*VLOOKUP($C183,'Base Dados NCM'!$A:$C,3,FALSE),"NCM não encontrado"))</f>
        <v/>
      </c>
      <c r="S183"/>
      <c r="T183" t="str">
        <f>IF($C183="","",IFERROR($P183*VLOOKUP($C183,'Base Dados NCM'!$A:$D,4,FALSE),"NCM não encontrado"))</f>
        <v/>
      </c>
      <c r="U183"/>
    </row>
    <row r="184" spans="17:21">
      <c r="Q184" t="str">
        <f>IF($C184="","",IFERROR($P184*VLOOKUP($C184,'Base Dados NCM'!$A:$B,2,FALSE),"NCM não encontrado"))</f>
        <v/>
      </c>
      <c r="R184" t="str">
        <f>IF($C184="","",IFERROR($P184*VLOOKUP($C184,'Base Dados NCM'!$A:$C,3,FALSE),"NCM não encontrado"))</f>
        <v/>
      </c>
      <c r="S184"/>
      <c r="T184" t="str">
        <f>IF($C184="","",IFERROR($P184*VLOOKUP($C184,'Base Dados NCM'!$A:$D,4,FALSE),"NCM não encontrado"))</f>
        <v/>
      </c>
      <c r="U184"/>
    </row>
    <row r="185" spans="17:21">
      <c r="Q185" t="str">
        <f>IF($C185="","",IFERROR($P185*VLOOKUP($C185,'Base Dados NCM'!$A:$B,2,FALSE),"NCM não encontrado"))</f>
        <v/>
      </c>
      <c r="R185" t="str">
        <f>IF($C185="","",IFERROR($P185*VLOOKUP($C185,'Base Dados NCM'!$A:$C,3,FALSE),"NCM não encontrado"))</f>
        <v/>
      </c>
      <c r="S185"/>
      <c r="T185" t="str">
        <f>IF($C185="","",IFERROR($P185*VLOOKUP($C185,'Base Dados NCM'!$A:$D,4,FALSE),"NCM não encontrado"))</f>
        <v/>
      </c>
      <c r="U185"/>
    </row>
    <row r="186" spans="17:21">
      <c r="Q186" t="str">
        <f>IF($C186="","",IFERROR($P186*VLOOKUP($C186,'Base Dados NCM'!$A:$B,2,FALSE),"NCM não encontrado"))</f>
        <v/>
      </c>
      <c r="R186" t="str">
        <f>IF($C186="","",IFERROR($P186*VLOOKUP($C186,'Base Dados NCM'!$A:$C,3,FALSE),"NCM não encontrado"))</f>
        <v/>
      </c>
      <c r="S186"/>
      <c r="T186" t="str">
        <f>IF($C186="","",IFERROR($P186*VLOOKUP($C186,'Base Dados NCM'!$A:$D,4,FALSE),"NCM não encontrado"))</f>
        <v/>
      </c>
      <c r="U186"/>
    </row>
    <row r="187" spans="17:21">
      <c r="Q187" t="str">
        <f>IF($C187="","",IFERROR($P187*VLOOKUP($C187,'Base Dados NCM'!$A:$B,2,FALSE),"NCM não encontrado"))</f>
        <v/>
      </c>
      <c r="R187" t="str">
        <f>IF($C187="","",IFERROR($P187*VLOOKUP($C187,'Base Dados NCM'!$A:$C,3,FALSE),"NCM não encontrado"))</f>
        <v/>
      </c>
      <c r="S187"/>
      <c r="T187" t="str">
        <f>IF($C187="","",IFERROR($P187*VLOOKUP($C187,'Base Dados NCM'!$A:$D,4,FALSE),"NCM não encontrado"))</f>
        <v/>
      </c>
      <c r="U187"/>
    </row>
    <row r="188" spans="17:21">
      <c r="Q188" t="str">
        <f>IF($C188="","",IFERROR($P188*VLOOKUP($C188,'Base Dados NCM'!$A:$B,2,FALSE),"NCM não encontrado"))</f>
        <v/>
      </c>
      <c r="R188" t="str">
        <f>IF($C188="","",IFERROR($P188*VLOOKUP($C188,'Base Dados NCM'!$A:$C,3,FALSE),"NCM não encontrado"))</f>
        <v/>
      </c>
      <c r="S188"/>
      <c r="T188" t="str">
        <f>IF($C188="","",IFERROR($P188*VLOOKUP($C188,'Base Dados NCM'!$A:$D,4,FALSE),"NCM não encontrado"))</f>
        <v/>
      </c>
      <c r="U188"/>
    </row>
    <row r="189" spans="17:21">
      <c r="Q189" t="str">
        <f>IF($C189="","",IFERROR($P189*VLOOKUP($C189,'Base Dados NCM'!$A:$B,2,FALSE),"NCM não encontrado"))</f>
        <v/>
      </c>
      <c r="R189" t="str">
        <f>IF($C189="","",IFERROR($P189*VLOOKUP($C189,'Base Dados NCM'!$A:$C,3,FALSE),"NCM não encontrado"))</f>
        <v/>
      </c>
      <c r="S189"/>
      <c r="T189" t="str">
        <f>IF($C189="","",IFERROR($P189*VLOOKUP($C189,'Base Dados NCM'!$A:$D,4,FALSE),"NCM não encontrado"))</f>
        <v/>
      </c>
      <c r="U189"/>
    </row>
    <row r="190" spans="17:21">
      <c r="Q190" t="str">
        <f>IF($C190="","",IFERROR($P190*VLOOKUP($C190,'Base Dados NCM'!$A:$B,2,FALSE),"NCM não encontrado"))</f>
        <v/>
      </c>
      <c r="R190" t="str">
        <f>IF($C190="","",IFERROR($P190*VLOOKUP($C190,'Base Dados NCM'!$A:$C,3,FALSE),"NCM não encontrado"))</f>
        <v/>
      </c>
      <c r="S190"/>
      <c r="T190" t="str">
        <f>IF($C190="","",IFERROR($P190*VLOOKUP($C190,'Base Dados NCM'!$A:$D,4,FALSE),"NCM não encontrado"))</f>
        <v/>
      </c>
      <c r="U190"/>
    </row>
    <row r="191" spans="17:21">
      <c r="Q191" t="str">
        <f>IF($C191="","",IFERROR($P191*VLOOKUP($C191,'Base Dados NCM'!$A:$B,2,FALSE),"NCM não encontrado"))</f>
        <v/>
      </c>
      <c r="R191" t="str">
        <f>IF($C191="","",IFERROR($P191*VLOOKUP($C191,'Base Dados NCM'!$A:$C,3,FALSE),"NCM não encontrado"))</f>
        <v/>
      </c>
      <c r="S191"/>
      <c r="T191" t="str">
        <f>IF($C191="","",IFERROR($P191*VLOOKUP($C191,'Base Dados NCM'!$A:$D,4,FALSE),"NCM não encontrado"))</f>
        <v/>
      </c>
      <c r="U191"/>
    </row>
    <row r="192" spans="17:21">
      <c r="Q192" t="str">
        <f>IF($C192="","",IFERROR($P192*VLOOKUP($C192,'Base Dados NCM'!$A:$B,2,FALSE),"NCM não encontrado"))</f>
        <v/>
      </c>
      <c r="R192" t="str">
        <f>IF($C192="","",IFERROR($P192*VLOOKUP($C192,'Base Dados NCM'!$A:$C,3,FALSE),"NCM não encontrado"))</f>
        <v/>
      </c>
      <c r="S192"/>
      <c r="T192" t="str">
        <f>IF($C192="","",IFERROR($P192*VLOOKUP($C192,'Base Dados NCM'!$A:$D,4,FALSE),"NCM não encontrado"))</f>
        <v/>
      </c>
      <c r="U192"/>
    </row>
    <row r="193" spans="17:21">
      <c r="Q193" t="str">
        <f>IF($C193="","",IFERROR($P193*VLOOKUP($C193,'Base Dados NCM'!$A:$B,2,FALSE),"NCM não encontrado"))</f>
        <v/>
      </c>
      <c r="R193" t="str">
        <f>IF($C193="","",IFERROR($P193*VLOOKUP($C193,'Base Dados NCM'!$A:$C,3,FALSE),"NCM não encontrado"))</f>
        <v/>
      </c>
      <c r="S193"/>
      <c r="T193" t="str">
        <f>IF($C193="","",IFERROR($P193*VLOOKUP($C193,'Base Dados NCM'!$A:$D,4,FALSE),"NCM não encontrado"))</f>
        <v/>
      </c>
      <c r="U193"/>
    </row>
    <row r="194" spans="17:21">
      <c r="Q194" t="str">
        <f>IF($C194="","",IFERROR($P194*VLOOKUP($C194,'Base Dados NCM'!$A:$B,2,FALSE),"NCM não encontrado"))</f>
        <v/>
      </c>
      <c r="R194" t="str">
        <f>IF($C194="","",IFERROR($P194*VLOOKUP($C194,'Base Dados NCM'!$A:$C,3,FALSE),"NCM não encontrado"))</f>
        <v/>
      </c>
      <c r="S194"/>
      <c r="T194" t="str">
        <f>IF($C194="","",IFERROR($P194*VLOOKUP($C194,'Base Dados NCM'!$A:$D,4,FALSE),"NCM não encontrado"))</f>
        <v/>
      </c>
      <c r="U194"/>
    </row>
    <row r="195" spans="17:21">
      <c r="Q195" t="str">
        <f>IF($C195="","",IFERROR($P195*VLOOKUP($C195,'Base Dados NCM'!$A:$B,2,FALSE),"NCM não encontrado"))</f>
        <v/>
      </c>
      <c r="R195" t="str">
        <f>IF($C195="","",IFERROR($P195*VLOOKUP($C195,'Base Dados NCM'!$A:$C,3,FALSE),"NCM não encontrado"))</f>
        <v/>
      </c>
      <c r="S195"/>
      <c r="T195" t="str">
        <f>IF($C195="","",IFERROR($P195*VLOOKUP($C195,'Base Dados NCM'!$A:$D,4,FALSE),"NCM não encontrado"))</f>
        <v/>
      </c>
      <c r="U195"/>
    </row>
    <row r="196" spans="17:21">
      <c r="Q196" t="str">
        <f>IF($C196="","",IFERROR($P196*VLOOKUP($C196,'Base Dados NCM'!$A:$B,2,FALSE),"NCM não encontrado"))</f>
        <v/>
      </c>
      <c r="R196" t="str">
        <f>IF($C196="","",IFERROR($P196*VLOOKUP($C196,'Base Dados NCM'!$A:$C,3,FALSE),"NCM não encontrado"))</f>
        <v/>
      </c>
      <c r="S196"/>
      <c r="T196" t="str">
        <f>IF($C196="","",IFERROR($P196*VLOOKUP($C196,'Base Dados NCM'!$A:$D,4,FALSE),"NCM não encontrado"))</f>
        <v/>
      </c>
      <c r="U196"/>
    </row>
    <row r="197" spans="17:21">
      <c r="Q197" t="str">
        <f>IF($C197="","",IFERROR($P197*VLOOKUP($C197,'Base Dados NCM'!$A:$B,2,FALSE),"NCM não encontrado"))</f>
        <v/>
      </c>
      <c r="R197" t="str">
        <f>IF($C197="","",IFERROR($P197*VLOOKUP($C197,'Base Dados NCM'!$A:$C,3,FALSE),"NCM não encontrado"))</f>
        <v/>
      </c>
      <c r="S197"/>
      <c r="T197" t="str">
        <f>IF($C197="","",IFERROR($P197*VLOOKUP($C197,'Base Dados NCM'!$A:$D,4,FALSE),"NCM não encontrado"))</f>
        <v/>
      </c>
      <c r="U197"/>
    </row>
    <row r="198" spans="17:21">
      <c r="Q198" t="str">
        <f>IF($C198="","",IFERROR($P198*VLOOKUP($C198,'Base Dados NCM'!$A:$B,2,FALSE),"NCM não encontrado"))</f>
        <v/>
      </c>
      <c r="R198" t="str">
        <f>IF($C198="","",IFERROR($P198*VLOOKUP($C198,'Base Dados NCM'!$A:$C,3,FALSE),"NCM não encontrado"))</f>
        <v/>
      </c>
      <c r="S198"/>
      <c r="T198" t="str">
        <f>IF($C198="","",IFERROR($P198*VLOOKUP($C198,'Base Dados NCM'!$A:$D,4,FALSE),"NCM não encontrado"))</f>
        <v/>
      </c>
      <c r="U198"/>
    </row>
    <row r="199" spans="17:21">
      <c r="Q199" t="str">
        <f>IF($C199="","",IFERROR($P199*VLOOKUP($C199,'Base Dados NCM'!$A:$B,2,FALSE),"NCM não encontrado"))</f>
        <v/>
      </c>
      <c r="R199" t="str">
        <f>IF($C199="","",IFERROR($P199*VLOOKUP($C199,'Base Dados NCM'!$A:$C,3,FALSE),"NCM não encontrado"))</f>
        <v/>
      </c>
      <c r="S199"/>
      <c r="T199" t="str">
        <f>IF($C199="","",IFERROR($P199*VLOOKUP($C199,'Base Dados NCM'!$A:$D,4,FALSE),"NCM não encontrado"))</f>
        <v/>
      </c>
      <c r="U199"/>
    </row>
    <row r="200" spans="17:21">
      <c r="Q200" t="str">
        <f>IF($C200="","",IFERROR($P200*VLOOKUP($C200,'Base Dados NCM'!$A:$B,2,FALSE),"NCM não encontrado"))</f>
        <v/>
      </c>
      <c r="R200" t="str">
        <f>IF($C200="","",IFERROR($P200*VLOOKUP($C200,'Base Dados NCM'!$A:$C,3,FALSE),"NCM não encontrado"))</f>
        <v/>
      </c>
      <c r="S200"/>
      <c r="T200" t="str">
        <f>IF($C200="","",IFERROR($P200*VLOOKUP($C200,'Base Dados NCM'!$A:$D,4,FALSE),"NCM não encontrado"))</f>
        <v/>
      </c>
      <c r="U200"/>
    </row>
    <row r="201" spans="17:21">
      <c r="Q201" t="str">
        <f>IF($C201="","",IFERROR($P201*VLOOKUP($C201,'Base Dados NCM'!$A:$B,2,FALSE),"NCM não encontrado"))</f>
        <v/>
      </c>
      <c r="R201" t="str">
        <f>IF($C201="","",IFERROR($P201*VLOOKUP($C201,'Base Dados NCM'!$A:$C,3,FALSE),"NCM não encontrado"))</f>
        <v/>
      </c>
      <c r="S201"/>
      <c r="T201" t="str">
        <f>IF($C201="","",IFERROR($P201*VLOOKUP($C201,'Base Dados NCM'!$A:$D,4,FALSE),"NCM não encontrado"))</f>
        <v/>
      </c>
      <c r="U201"/>
    </row>
    <row r="202" spans="17:21">
      <c r="Q202" t="str">
        <f>IF($C202="","",IFERROR($P202*VLOOKUP($C202,'Base Dados NCM'!$A:$B,2,FALSE),"NCM não encontrado"))</f>
        <v/>
      </c>
      <c r="R202" t="str">
        <f>IF($C202="","",IFERROR($P202*VLOOKUP($C202,'Base Dados NCM'!$A:$C,3,FALSE),"NCM não encontrado"))</f>
        <v/>
      </c>
      <c r="S202"/>
      <c r="T202" t="str">
        <f>IF($C202="","",IFERROR($P202*VLOOKUP($C202,'Base Dados NCM'!$A:$D,4,FALSE),"NCM não encontrado"))</f>
        <v/>
      </c>
      <c r="U202"/>
    </row>
    <row r="203" spans="17:21">
      <c r="Q203" t="str">
        <f>IF($C203="","",IFERROR($P203*VLOOKUP($C203,'Base Dados NCM'!$A:$B,2,FALSE),"NCM não encontrado"))</f>
        <v/>
      </c>
      <c r="R203" t="str">
        <f>IF($C203="","",IFERROR($P203*VLOOKUP($C203,'Base Dados NCM'!$A:$C,3,FALSE),"NCM não encontrado"))</f>
        <v/>
      </c>
      <c r="S203"/>
      <c r="T203" t="str">
        <f>IF($C203="","",IFERROR($P203*VLOOKUP($C203,'Base Dados NCM'!$A:$D,4,FALSE),"NCM não encontrado"))</f>
        <v/>
      </c>
      <c r="U203"/>
    </row>
    <row r="204" spans="17:21">
      <c r="Q204" t="str">
        <f>IF($C204="","",IFERROR($P204*VLOOKUP($C204,'Base Dados NCM'!$A:$B,2,FALSE),"NCM não encontrado"))</f>
        <v/>
      </c>
      <c r="R204" t="str">
        <f>IF($C204="","",IFERROR($P204*VLOOKUP($C204,'Base Dados NCM'!$A:$C,3,FALSE),"NCM não encontrado"))</f>
        <v/>
      </c>
      <c r="S204"/>
      <c r="T204" t="str">
        <f>IF($C204="","",IFERROR($P204*VLOOKUP($C204,'Base Dados NCM'!$A:$D,4,FALSE),"NCM não encontrado"))</f>
        <v/>
      </c>
      <c r="U204"/>
    </row>
    <row r="205" spans="17:21">
      <c r="Q205" t="str">
        <f>IF($C205="","",IFERROR($P205*VLOOKUP($C205,'Base Dados NCM'!$A:$B,2,FALSE),"NCM não encontrado"))</f>
        <v/>
      </c>
      <c r="R205" t="str">
        <f>IF($C205="","",IFERROR($P205*VLOOKUP($C205,'Base Dados NCM'!$A:$C,3,FALSE),"NCM não encontrado"))</f>
        <v/>
      </c>
      <c r="S205"/>
      <c r="T205" t="str">
        <f>IF($C205="","",IFERROR($P205*VLOOKUP($C205,'Base Dados NCM'!$A:$D,4,FALSE),"NCM não encontrado"))</f>
        <v/>
      </c>
      <c r="U205"/>
    </row>
    <row r="206" spans="17:21">
      <c r="Q206" t="str">
        <f>IF($C206="","",IFERROR($P206*VLOOKUP($C206,'Base Dados NCM'!$A:$B,2,FALSE),"NCM não encontrado"))</f>
        <v/>
      </c>
      <c r="R206" t="str">
        <f>IF($C206="","",IFERROR($P206*VLOOKUP($C206,'Base Dados NCM'!$A:$C,3,FALSE),"NCM não encontrado"))</f>
        <v/>
      </c>
      <c r="S206"/>
      <c r="T206" t="str">
        <f>IF($C206="","",IFERROR($P206*VLOOKUP($C206,'Base Dados NCM'!$A:$D,4,FALSE),"NCM não encontrado"))</f>
        <v/>
      </c>
      <c r="U206"/>
    </row>
    <row r="207" spans="17:21">
      <c r="Q207" t="str">
        <f>IF($C207="","",IFERROR($P207*VLOOKUP($C207,'Base Dados NCM'!$A:$B,2,FALSE),"NCM não encontrado"))</f>
        <v/>
      </c>
      <c r="R207" t="str">
        <f>IF($C207="","",IFERROR($P207*VLOOKUP($C207,'Base Dados NCM'!$A:$C,3,FALSE),"NCM não encontrado"))</f>
        <v/>
      </c>
      <c r="S207"/>
      <c r="T207" t="str">
        <f>IF($C207="","",IFERROR($P207*VLOOKUP($C207,'Base Dados NCM'!$A:$D,4,FALSE),"NCM não encontrado"))</f>
        <v/>
      </c>
      <c r="U207"/>
    </row>
    <row r="208" spans="17:21">
      <c r="Q208" t="str">
        <f>IF($C208="","",IFERROR($P208*VLOOKUP($C208,'Base Dados NCM'!$A:$B,2,FALSE),"NCM não encontrado"))</f>
        <v/>
      </c>
      <c r="R208" t="str">
        <f>IF($C208="","",IFERROR($P208*VLOOKUP($C208,'Base Dados NCM'!$A:$C,3,FALSE),"NCM não encontrado"))</f>
        <v/>
      </c>
      <c r="S208"/>
      <c r="T208" t="str">
        <f>IF($C208="","",IFERROR($P208*VLOOKUP($C208,'Base Dados NCM'!$A:$D,4,FALSE),"NCM não encontrado"))</f>
        <v/>
      </c>
      <c r="U208"/>
    </row>
    <row r="209" spans="17:21">
      <c r="Q209" t="str">
        <f>IF($C209="","",IFERROR($P209*VLOOKUP($C209,'Base Dados NCM'!$A:$B,2,FALSE),"NCM não encontrado"))</f>
        <v/>
      </c>
      <c r="R209" t="str">
        <f>IF($C209="","",IFERROR($P209*VLOOKUP($C209,'Base Dados NCM'!$A:$C,3,FALSE),"NCM não encontrado"))</f>
        <v/>
      </c>
      <c r="S209"/>
      <c r="T209" t="str">
        <f>IF($C209="","",IFERROR($P209*VLOOKUP($C209,'Base Dados NCM'!$A:$D,4,FALSE),"NCM não encontrado"))</f>
        <v/>
      </c>
      <c r="U209"/>
    </row>
    <row r="210" spans="17:21">
      <c r="Q210" t="str">
        <f>IF($C210="","",IFERROR($P210*VLOOKUP($C210,'Base Dados NCM'!$A:$B,2,FALSE),"NCM não encontrado"))</f>
        <v/>
      </c>
      <c r="R210" t="str">
        <f>IF($C210="","",IFERROR($P210*VLOOKUP($C210,'Base Dados NCM'!$A:$C,3,FALSE),"NCM não encontrado"))</f>
        <v/>
      </c>
      <c r="S210"/>
      <c r="T210" t="str">
        <f>IF($C210="","",IFERROR($P210*VLOOKUP($C210,'Base Dados NCM'!$A:$D,4,FALSE),"NCM não encontrado"))</f>
        <v/>
      </c>
      <c r="U210"/>
    </row>
    <row r="211" spans="17:21">
      <c r="Q211" t="str">
        <f>IF($C211="","",IFERROR($P211*VLOOKUP($C211,'Base Dados NCM'!$A:$B,2,FALSE),"NCM não encontrado"))</f>
        <v/>
      </c>
      <c r="R211" t="str">
        <f>IF($C211="","",IFERROR($P211*VLOOKUP($C211,'Base Dados NCM'!$A:$C,3,FALSE),"NCM não encontrado"))</f>
        <v/>
      </c>
      <c r="S211"/>
      <c r="T211" t="str">
        <f>IF($C211="","",IFERROR($P211*VLOOKUP($C211,'Base Dados NCM'!$A:$D,4,FALSE),"NCM não encontrado"))</f>
        <v/>
      </c>
      <c r="U211"/>
    </row>
    <row r="212" spans="17:21">
      <c r="Q212" t="str">
        <f>IF($C212="","",IFERROR($P212*VLOOKUP($C212,'Base Dados NCM'!$A:$B,2,FALSE),"NCM não encontrado"))</f>
        <v/>
      </c>
      <c r="R212" t="str">
        <f>IF($C212="","",IFERROR($P212*VLOOKUP($C212,'Base Dados NCM'!$A:$C,3,FALSE),"NCM não encontrado"))</f>
        <v/>
      </c>
      <c r="S212"/>
      <c r="T212" t="str">
        <f>IF($C212="","",IFERROR($P212*VLOOKUP($C212,'Base Dados NCM'!$A:$D,4,FALSE),"NCM não encontrado"))</f>
        <v/>
      </c>
      <c r="U212"/>
    </row>
    <row r="213" spans="17:21">
      <c r="Q213" t="str">
        <f>IF($C213="","",IFERROR($P213*VLOOKUP($C213,'Base Dados NCM'!$A:$B,2,FALSE),"NCM não encontrado"))</f>
        <v/>
      </c>
      <c r="R213" t="str">
        <f>IF($C213="","",IFERROR($P213*VLOOKUP($C213,'Base Dados NCM'!$A:$C,3,FALSE),"NCM não encontrado"))</f>
        <v/>
      </c>
      <c r="S213"/>
      <c r="T213" t="str">
        <f>IF($C213="","",IFERROR($P213*VLOOKUP($C213,'Base Dados NCM'!$A:$D,4,FALSE),"NCM não encontrado"))</f>
        <v/>
      </c>
      <c r="U213"/>
    </row>
    <row r="214" spans="17:21">
      <c r="Q214" t="str">
        <f>IF($C214="","",IFERROR($P214*VLOOKUP($C214,'Base Dados NCM'!$A:$B,2,FALSE),"NCM não encontrado"))</f>
        <v/>
      </c>
      <c r="R214" t="str">
        <f>IF($C214="","",IFERROR($P214*VLOOKUP($C214,'Base Dados NCM'!$A:$C,3,FALSE),"NCM não encontrado"))</f>
        <v/>
      </c>
      <c r="S214"/>
      <c r="T214" t="str">
        <f>IF($C214="","",IFERROR($P214*VLOOKUP($C214,'Base Dados NCM'!$A:$D,4,FALSE),"NCM não encontrado"))</f>
        <v/>
      </c>
      <c r="U214"/>
    </row>
    <row r="215" spans="17:21">
      <c r="Q215" t="str">
        <f>IF($C215="","",IFERROR($P215*VLOOKUP($C215,'Base Dados NCM'!$A:$B,2,FALSE),"NCM não encontrado"))</f>
        <v/>
      </c>
      <c r="R215" t="str">
        <f>IF($C215="","",IFERROR($P215*VLOOKUP($C215,'Base Dados NCM'!$A:$C,3,FALSE),"NCM não encontrado"))</f>
        <v/>
      </c>
      <c r="S215"/>
      <c r="T215" t="str">
        <f>IF($C215="","",IFERROR($P215*VLOOKUP($C215,'Base Dados NCM'!$A:$D,4,FALSE),"NCM não encontrado"))</f>
        <v/>
      </c>
      <c r="U215"/>
    </row>
    <row r="216" spans="17:21">
      <c r="Q216" t="str">
        <f>IF($C216="","",IFERROR($P216*VLOOKUP($C216,'Base Dados NCM'!$A:$B,2,FALSE),"NCM não encontrado"))</f>
        <v/>
      </c>
      <c r="R216" t="str">
        <f>IF($C216="","",IFERROR($P216*VLOOKUP($C216,'Base Dados NCM'!$A:$C,3,FALSE),"NCM não encontrado"))</f>
        <v/>
      </c>
      <c r="S216"/>
      <c r="T216" t="str">
        <f>IF($C216="","",IFERROR($P216*VLOOKUP($C216,'Base Dados NCM'!$A:$D,4,FALSE),"NCM não encontrado"))</f>
        <v/>
      </c>
      <c r="U216"/>
    </row>
    <row r="217" spans="17:21">
      <c r="Q217" t="str">
        <f>IF($C217="","",IFERROR($P217*VLOOKUP($C217,'Base Dados NCM'!$A:$B,2,FALSE),"NCM não encontrado"))</f>
        <v/>
      </c>
      <c r="R217" t="str">
        <f>IF($C217="","",IFERROR($P217*VLOOKUP($C217,'Base Dados NCM'!$A:$C,3,FALSE),"NCM não encontrado"))</f>
        <v/>
      </c>
      <c r="S217"/>
      <c r="T217" t="str">
        <f>IF($C217="","",IFERROR($P217*VLOOKUP($C217,'Base Dados NCM'!$A:$D,4,FALSE),"NCM não encontrado"))</f>
        <v/>
      </c>
      <c r="U217"/>
    </row>
    <row r="218" spans="17:21">
      <c r="Q218" t="str">
        <f>IF($C218="","",IFERROR($P218*VLOOKUP($C218,'Base Dados NCM'!$A:$B,2,FALSE),"NCM não encontrado"))</f>
        <v/>
      </c>
      <c r="R218" t="str">
        <f>IF($C218="","",IFERROR($P218*VLOOKUP($C218,'Base Dados NCM'!$A:$C,3,FALSE),"NCM não encontrado"))</f>
        <v/>
      </c>
      <c r="S218"/>
      <c r="T218" t="str">
        <f>IF($C218="","",IFERROR($P218*VLOOKUP($C218,'Base Dados NCM'!$A:$D,4,FALSE),"NCM não encontrado"))</f>
        <v/>
      </c>
      <c r="U218"/>
    </row>
    <row r="219" spans="17:21">
      <c r="Q219" t="str">
        <f>IF($C219="","",IFERROR($P219*VLOOKUP($C219,'Base Dados NCM'!$A:$B,2,FALSE),"NCM não encontrado"))</f>
        <v/>
      </c>
      <c r="R219" t="str">
        <f>IF($C219="","",IFERROR($P219*VLOOKUP($C219,'Base Dados NCM'!$A:$C,3,FALSE),"NCM não encontrado"))</f>
        <v/>
      </c>
      <c r="S219"/>
      <c r="T219" t="str">
        <f>IF($C219="","",IFERROR($P219*VLOOKUP($C219,'Base Dados NCM'!$A:$D,4,FALSE),"NCM não encontrado"))</f>
        <v/>
      </c>
      <c r="U219"/>
    </row>
    <row r="220" spans="17:21">
      <c r="Q220" t="str">
        <f>IF($C220="","",IFERROR($P220*VLOOKUP($C220,'Base Dados NCM'!$A:$B,2,FALSE),"NCM não encontrado"))</f>
        <v/>
      </c>
      <c r="R220" t="str">
        <f>IF($C220="","",IFERROR($P220*VLOOKUP($C220,'Base Dados NCM'!$A:$C,3,FALSE),"NCM não encontrado"))</f>
        <v/>
      </c>
      <c r="S220"/>
      <c r="T220" t="str">
        <f>IF($C220="","",IFERROR($P220*VLOOKUP($C220,'Base Dados NCM'!$A:$D,4,FALSE),"NCM não encontrado"))</f>
        <v/>
      </c>
      <c r="U220"/>
    </row>
    <row r="221" spans="17:21">
      <c r="Q221" t="str">
        <f>IF($C221="","",IFERROR($P221*VLOOKUP($C221,'Base Dados NCM'!$A:$B,2,FALSE),"NCM não encontrado"))</f>
        <v/>
      </c>
      <c r="R221" t="str">
        <f>IF($C221="","",IFERROR($P221*VLOOKUP($C221,'Base Dados NCM'!$A:$C,3,FALSE),"NCM não encontrado"))</f>
        <v/>
      </c>
      <c r="S221"/>
      <c r="T221" t="str">
        <f>IF($C221="","",IFERROR($P221*VLOOKUP($C221,'Base Dados NCM'!$A:$D,4,FALSE),"NCM não encontrado"))</f>
        <v/>
      </c>
      <c r="U221"/>
    </row>
    <row r="222" spans="17:21">
      <c r="Q222" t="str">
        <f>IF($C222="","",IFERROR($P222*VLOOKUP($C222,'Base Dados NCM'!$A:$B,2,FALSE),"NCM não encontrado"))</f>
        <v/>
      </c>
      <c r="R222" t="str">
        <f>IF($C222="","",IFERROR($P222*VLOOKUP($C222,'Base Dados NCM'!$A:$C,3,FALSE),"NCM não encontrado"))</f>
        <v/>
      </c>
      <c r="S222"/>
      <c r="T222" t="str">
        <f>IF($C222="","",IFERROR($P222*VLOOKUP($C222,'Base Dados NCM'!$A:$D,4,FALSE),"NCM não encontrado"))</f>
        <v/>
      </c>
      <c r="U222"/>
    </row>
    <row r="223" spans="17:21">
      <c r="Q223" t="str">
        <f>IF($C223="","",IFERROR($P223*VLOOKUP($C223,'Base Dados NCM'!$A:$B,2,FALSE),"NCM não encontrado"))</f>
        <v/>
      </c>
      <c r="R223" t="str">
        <f>IF($C223="","",IFERROR($P223*VLOOKUP($C223,'Base Dados NCM'!$A:$C,3,FALSE),"NCM não encontrado"))</f>
        <v/>
      </c>
      <c r="S223"/>
      <c r="T223" t="str">
        <f>IF($C223="","",IFERROR($P223*VLOOKUP($C223,'Base Dados NCM'!$A:$D,4,FALSE),"NCM não encontrado"))</f>
        <v/>
      </c>
      <c r="U223"/>
    </row>
    <row r="224" spans="17:21">
      <c r="Q224" t="str">
        <f>IF($C224="","",IFERROR($P224*VLOOKUP($C224,'Base Dados NCM'!$A:$B,2,FALSE),"NCM não encontrado"))</f>
        <v/>
      </c>
      <c r="R224" t="str">
        <f>IF($C224="","",IFERROR($P224*VLOOKUP($C224,'Base Dados NCM'!$A:$C,3,FALSE),"NCM não encontrado"))</f>
        <v/>
      </c>
      <c r="S224"/>
      <c r="T224" t="str">
        <f>IF($C224="","",IFERROR($P224*VLOOKUP($C224,'Base Dados NCM'!$A:$D,4,FALSE),"NCM não encontrado"))</f>
        <v/>
      </c>
      <c r="U224"/>
    </row>
    <row r="225" spans="17:21">
      <c r="Q225" t="str">
        <f>IF($C225="","",IFERROR($P225*VLOOKUP($C225,'Base Dados NCM'!$A:$B,2,FALSE),"NCM não encontrado"))</f>
        <v/>
      </c>
      <c r="R225" t="str">
        <f>IF($C225="","",IFERROR($P225*VLOOKUP($C225,'Base Dados NCM'!$A:$C,3,FALSE),"NCM não encontrado"))</f>
        <v/>
      </c>
      <c r="S225"/>
      <c r="T225" t="str">
        <f>IF($C225="","",IFERROR($P225*VLOOKUP($C225,'Base Dados NCM'!$A:$D,4,FALSE),"NCM não encontrado"))</f>
        <v/>
      </c>
      <c r="U225"/>
    </row>
    <row r="226" spans="17:21">
      <c r="Q226" t="str">
        <f>IF($C226="","",IFERROR($P226*VLOOKUP($C226,'Base Dados NCM'!$A:$B,2,FALSE),"NCM não encontrado"))</f>
        <v/>
      </c>
      <c r="R226" t="str">
        <f>IF($C226="","",IFERROR($P226*VLOOKUP($C226,'Base Dados NCM'!$A:$C,3,FALSE),"NCM não encontrado"))</f>
        <v/>
      </c>
      <c r="S226"/>
      <c r="T226" t="str">
        <f>IF($C226="","",IFERROR($P226*VLOOKUP($C226,'Base Dados NCM'!$A:$D,4,FALSE),"NCM não encontrado"))</f>
        <v/>
      </c>
      <c r="U226"/>
    </row>
    <row r="227" spans="17:21">
      <c r="Q227" t="str">
        <f>IF($C227="","",IFERROR($P227*VLOOKUP($C227,'Base Dados NCM'!$A:$B,2,FALSE),"NCM não encontrado"))</f>
        <v/>
      </c>
      <c r="R227" t="str">
        <f>IF($C227="","",IFERROR($P227*VLOOKUP($C227,'Base Dados NCM'!$A:$C,3,FALSE),"NCM não encontrado"))</f>
        <v/>
      </c>
      <c r="S227"/>
      <c r="T227" t="str">
        <f>IF($C227="","",IFERROR($P227*VLOOKUP($C227,'Base Dados NCM'!$A:$D,4,FALSE),"NCM não encontrado"))</f>
        <v/>
      </c>
      <c r="U227"/>
    </row>
    <row r="228" spans="17:21">
      <c r="Q228" t="str">
        <f>IF($C228="","",IFERROR($P228*VLOOKUP($C228,'Base Dados NCM'!$A:$B,2,FALSE),"NCM não encontrado"))</f>
        <v/>
      </c>
      <c r="R228" t="str">
        <f>IF($C228="","",IFERROR($P228*VLOOKUP($C228,'Base Dados NCM'!$A:$C,3,FALSE),"NCM não encontrado"))</f>
        <v/>
      </c>
      <c r="S228"/>
      <c r="T228" t="str">
        <f>IF($C228="","",IFERROR($P228*VLOOKUP($C228,'Base Dados NCM'!$A:$D,4,FALSE),"NCM não encontrado"))</f>
        <v/>
      </c>
      <c r="U228"/>
    </row>
    <row r="229" spans="17:21">
      <c r="Q229" t="str">
        <f>IF($C229="","",IFERROR($P229*VLOOKUP($C229,'Base Dados NCM'!$A:$B,2,FALSE),"NCM não encontrado"))</f>
        <v/>
      </c>
      <c r="R229" t="str">
        <f>IF($C229="","",IFERROR($P229*VLOOKUP($C229,'Base Dados NCM'!$A:$C,3,FALSE),"NCM não encontrado"))</f>
        <v/>
      </c>
      <c r="S229"/>
      <c r="T229" t="str">
        <f>IF($C229="","",IFERROR($P229*VLOOKUP($C229,'Base Dados NCM'!$A:$D,4,FALSE),"NCM não encontrado"))</f>
        <v/>
      </c>
      <c r="U229"/>
    </row>
    <row r="230" spans="17:21">
      <c r="Q230" t="str">
        <f>IF($C230="","",IFERROR($P230*VLOOKUP($C230,'Base Dados NCM'!$A:$B,2,FALSE),"NCM não encontrado"))</f>
        <v/>
      </c>
      <c r="R230" t="str">
        <f>IF($C230="","",IFERROR($P230*VLOOKUP($C230,'Base Dados NCM'!$A:$C,3,FALSE),"NCM não encontrado"))</f>
        <v/>
      </c>
      <c r="S230"/>
      <c r="T230" t="str">
        <f>IF($C230="","",IFERROR($P230*VLOOKUP($C230,'Base Dados NCM'!$A:$D,4,FALSE),"NCM não encontrado"))</f>
        <v/>
      </c>
      <c r="U230"/>
    </row>
    <row r="231" spans="17:21">
      <c r="Q231" t="str">
        <f>IF($C231="","",IFERROR($P231*VLOOKUP($C231,'Base Dados NCM'!$A:$B,2,FALSE),"NCM não encontrado"))</f>
        <v/>
      </c>
      <c r="R231" t="str">
        <f>IF($C231="","",IFERROR($P231*VLOOKUP($C231,'Base Dados NCM'!$A:$C,3,FALSE),"NCM não encontrado"))</f>
        <v/>
      </c>
      <c r="S231"/>
      <c r="T231" t="str">
        <f>IF($C231="","",IFERROR($P231*VLOOKUP($C231,'Base Dados NCM'!$A:$D,4,FALSE),"NCM não encontrado"))</f>
        <v/>
      </c>
      <c r="U231"/>
    </row>
    <row r="232" spans="17:21">
      <c r="Q232" t="str">
        <f>IF($C232="","",IFERROR($P232*VLOOKUP($C232,'Base Dados NCM'!$A:$B,2,FALSE),"NCM não encontrado"))</f>
        <v/>
      </c>
      <c r="R232" t="str">
        <f>IF($C232="","",IFERROR($P232*VLOOKUP($C232,'Base Dados NCM'!$A:$C,3,FALSE),"NCM não encontrado"))</f>
        <v/>
      </c>
      <c r="S232"/>
      <c r="T232" t="str">
        <f>IF($C232="","",IFERROR($P232*VLOOKUP($C232,'Base Dados NCM'!$A:$D,4,FALSE),"NCM não encontrado"))</f>
        <v/>
      </c>
      <c r="U232"/>
    </row>
    <row r="233" spans="17:21">
      <c r="Q233" t="str">
        <f>IF($C233="","",IFERROR($P233*VLOOKUP($C233,'Base Dados NCM'!$A:$B,2,FALSE),"NCM não encontrado"))</f>
        <v/>
      </c>
      <c r="R233" t="str">
        <f>IF($C233="","",IFERROR($P233*VLOOKUP($C233,'Base Dados NCM'!$A:$C,3,FALSE),"NCM não encontrado"))</f>
        <v/>
      </c>
      <c r="S233"/>
      <c r="T233" t="str">
        <f>IF($C233="","",IFERROR($P233*VLOOKUP($C233,'Base Dados NCM'!$A:$D,4,FALSE),"NCM não encontrado"))</f>
        <v/>
      </c>
      <c r="U233"/>
    </row>
    <row r="234" spans="17:21">
      <c r="Q234" t="str">
        <f>IF($C234="","",IFERROR($P234*VLOOKUP($C234,'Base Dados NCM'!$A:$B,2,FALSE),"NCM não encontrado"))</f>
        <v/>
      </c>
      <c r="R234" t="str">
        <f>IF($C234="","",IFERROR($P234*VLOOKUP($C234,'Base Dados NCM'!$A:$C,3,FALSE),"NCM não encontrado"))</f>
        <v/>
      </c>
      <c r="S234"/>
      <c r="T234" t="str">
        <f>IF($C234="","",IFERROR($P234*VLOOKUP($C234,'Base Dados NCM'!$A:$D,4,FALSE),"NCM não encontrado"))</f>
        <v/>
      </c>
      <c r="U234"/>
    </row>
    <row r="235" spans="17:21">
      <c r="Q235" t="str">
        <f>IF($C235="","",IFERROR($P235*VLOOKUP($C235,'Base Dados NCM'!$A:$B,2,FALSE),"NCM não encontrado"))</f>
        <v/>
      </c>
      <c r="R235" t="str">
        <f>IF($C235="","",IFERROR($P235*VLOOKUP($C235,'Base Dados NCM'!$A:$C,3,FALSE),"NCM não encontrado"))</f>
        <v/>
      </c>
      <c r="S235"/>
      <c r="T235" t="str">
        <f>IF($C235="","",IFERROR($P235*VLOOKUP($C235,'Base Dados NCM'!$A:$D,4,FALSE),"NCM não encontrado"))</f>
        <v/>
      </c>
      <c r="U235"/>
    </row>
    <row r="236" spans="17:21">
      <c r="Q236" t="str">
        <f>IF($C236="","",IFERROR($P236*VLOOKUP($C236,'Base Dados NCM'!$A:$B,2,FALSE),"NCM não encontrado"))</f>
        <v/>
      </c>
      <c r="R236" t="str">
        <f>IF($C236="","",IFERROR($P236*VLOOKUP($C236,'Base Dados NCM'!$A:$C,3,FALSE),"NCM não encontrado"))</f>
        <v/>
      </c>
      <c r="S236"/>
      <c r="T236" t="str">
        <f>IF($C236="","",IFERROR($P236*VLOOKUP($C236,'Base Dados NCM'!$A:$D,4,FALSE),"NCM não encontrado"))</f>
        <v/>
      </c>
      <c r="U236"/>
    </row>
    <row r="237" spans="17:21">
      <c r="Q237" t="str">
        <f>IF($C237="","",IFERROR($P237*VLOOKUP($C237,'Base Dados NCM'!$A:$B,2,FALSE),"NCM não encontrado"))</f>
        <v/>
      </c>
      <c r="R237" t="str">
        <f>IF($C237="","",IFERROR($P237*VLOOKUP($C237,'Base Dados NCM'!$A:$C,3,FALSE),"NCM não encontrado"))</f>
        <v/>
      </c>
      <c r="S237"/>
      <c r="T237" t="str">
        <f>IF($C237="","",IFERROR($P237*VLOOKUP($C237,'Base Dados NCM'!$A:$D,4,FALSE),"NCM não encontrado"))</f>
        <v/>
      </c>
      <c r="U237"/>
    </row>
    <row r="238" spans="17:21">
      <c r="Q238" t="str">
        <f>IF($C238="","",IFERROR($P238*VLOOKUP($C238,'Base Dados NCM'!$A:$B,2,FALSE),"NCM não encontrado"))</f>
        <v/>
      </c>
      <c r="R238" t="str">
        <f>IF($C238="","",IFERROR($P238*VLOOKUP($C238,'Base Dados NCM'!$A:$C,3,FALSE),"NCM não encontrado"))</f>
        <v/>
      </c>
      <c r="S238"/>
      <c r="T238" t="str">
        <f>IF($C238="","",IFERROR($P238*VLOOKUP($C238,'Base Dados NCM'!$A:$D,4,FALSE),"NCM não encontrado"))</f>
        <v/>
      </c>
      <c r="U238"/>
    </row>
    <row r="239" spans="17:21">
      <c r="Q239" t="str">
        <f>IF($C239="","",IFERROR($P239*VLOOKUP($C239,'Base Dados NCM'!$A:$B,2,FALSE),"NCM não encontrado"))</f>
        <v/>
      </c>
      <c r="R239" t="str">
        <f>IF($C239="","",IFERROR($P239*VLOOKUP($C239,'Base Dados NCM'!$A:$C,3,FALSE),"NCM não encontrado"))</f>
        <v/>
      </c>
      <c r="S239"/>
      <c r="T239" t="str">
        <f>IF($C239="","",IFERROR($P239*VLOOKUP($C239,'Base Dados NCM'!$A:$D,4,FALSE),"NCM não encontrado"))</f>
        <v/>
      </c>
      <c r="U239"/>
    </row>
    <row r="240" spans="17:21">
      <c r="Q240" t="str">
        <f>IF($C240="","",IFERROR($P240*VLOOKUP($C240,'Base Dados NCM'!$A:$B,2,FALSE),"NCM não encontrado"))</f>
        <v/>
      </c>
      <c r="R240" t="str">
        <f>IF($C240="","",IFERROR($P240*VLOOKUP($C240,'Base Dados NCM'!$A:$C,3,FALSE),"NCM não encontrado"))</f>
        <v/>
      </c>
      <c r="S240"/>
      <c r="T240" t="str">
        <f>IF($C240="","",IFERROR($P240*VLOOKUP($C240,'Base Dados NCM'!$A:$D,4,FALSE),"NCM não encontrado"))</f>
        <v/>
      </c>
      <c r="U240"/>
    </row>
    <row r="241" spans="17:21">
      <c r="Q241" t="str">
        <f>IF($C241="","",IFERROR($P241*VLOOKUP($C241,'Base Dados NCM'!$A:$B,2,FALSE),"NCM não encontrado"))</f>
        <v/>
      </c>
      <c r="R241" t="str">
        <f>IF($C241="","",IFERROR($P241*VLOOKUP($C241,'Base Dados NCM'!$A:$C,3,FALSE),"NCM não encontrado"))</f>
        <v/>
      </c>
      <c r="S241"/>
      <c r="T241" t="str">
        <f>IF($C241="","",IFERROR($P241*VLOOKUP($C241,'Base Dados NCM'!$A:$D,4,FALSE),"NCM não encontrado"))</f>
        <v/>
      </c>
      <c r="U241"/>
    </row>
    <row r="242" spans="17:21">
      <c r="Q242" t="str">
        <f>IF($C242="","",IFERROR($P242*VLOOKUP($C242,'Base Dados NCM'!$A:$B,2,FALSE),"NCM não encontrado"))</f>
        <v/>
      </c>
      <c r="R242" t="str">
        <f>IF($C242="","",IFERROR($P242*VLOOKUP($C242,'Base Dados NCM'!$A:$C,3,FALSE),"NCM não encontrado"))</f>
        <v/>
      </c>
      <c r="S242"/>
      <c r="T242" t="str">
        <f>IF($C242="","",IFERROR($P242*VLOOKUP($C242,'Base Dados NCM'!$A:$D,4,FALSE),"NCM não encontrado"))</f>
        <v/>
      </c>
      <c r="U242"/>
    </row>
    <row r="243" spans="17:21">
      <c r="Q243" t="str">
        <f>IF($C243="","",IFERROR($P243*VLOOKUP($C243,'Base Dados NCM'!$A:$B,2,FALSE),"NCM não encontrado"))</f>
        <v/>
      </c>
      <c r="R243" t="str">
        <f>IF($C243="","",IFERROR($P243*VLOOKUP($C243,'Base Dados NCM'!$A:$C,3,FALSE),"NCM não encontrado"))</f>
        <v/>
      </c>
      <c r="S243"/>
      <c r="T243" t="str">
        <f>IF($C243="","",IFERROR($P243*VLOOKUP($C243,'Base Dados NCM'!$A:$D,4,FALSE),"NCM não encontrado"))</f>
        <v/>
      </c>
      <c r="U243"/>
    </row>
    <row r="244" spans="17:21">
      <c r="Q244" t="str">
        <f>IF($C244="","",IFERROR($P244*VLOOKUP($C244,'Base Dados NCM'!$A:$B,2,FALSE),"NCM não encontrado"))</f>
        <v/>
      </c>
      <c r="R244" t="str">
        <f>IF($C244="","",IFERROR($P244*VLOOKUP($C244,'Base Dados NCM'!$A:$C,3,FALSE),"NCM não encontrado"))</f>
        <v/>
      </c>
      <c r="S244"/>
      <c r="T244" t="str">
        <f>IF($C244="","",IFERROR($P244*VLOOKUP($C244,'Base Dados NCM'!$A:$D,4,FALSE),"NCM não encontrado"))</f>
        <v/>
      </c>
      <c r="U244"/>
    </row>
    <row r="245" spans="17:21">
      <c r="Q245" t="str">
        <f>IF($C245="","",IFERROR($P245*VLOOKUP($C245,'Base Dados NCM'!$A:$B,2,FALSE),"NCM não encontrado"))</f>
        <v/>
      </c>
      <c r="R245" t="str">
        <f>IF($C245="","",IFERROR($P245*VLOOKUP($C245,'Base Dados NCM'!$A:$C,3,FALSE),"NCM não encontrado"))</f>
        <v/>
      </c>
      <c r="S245"/>
      <c r="T245" t="str">
        <f>IF($C245="","",IFERROR($P245*VLOOKUP($C245,'Base Dados NCM'!$A:$D,4,FALSE),"NCM não encontrado"))</f>
        <v/>
      </c>
      <c r="U245"/>
    </row>
    <row r="246" spans="17:21">
      <c r="Q246" t="str">
        <f>IF($C246="","",IFERROR($P246*VLOOKUP($C246,'Base Dados NCM'!$A:$B,2,FALSE),"NCM não encontrado"))</f>
        <v/>
      </c>
      <c r="R246" t="str">
        <f>IF($C246="","",IFERROR($P246*VLOOKUP($C246,'Base Dados NCM'!$A:$C,3,FALSE),"NCM não encontrado"))</f>
        <v/>
      </c>
      <c r="S246"/>
      <c r="T246" t="str">
        <f>IF($C246="","",IFERROR($P246*VLOOKUP($C246,'Base Dados NCM'!$A:$D,4,FALSE),"NCM não encontrado"))</f>
        <v/>
      </c>
      <c r="U246"/>
    </row>
    <row r="247" spans="17:21">
      <c r="Q247" t="str">
        <f>IF($C247="","",IFERROR($P247*VLOOKUP($C247,'Base Dados NCM'!$A:$B,2,FALSE),"NCM não encontrado"))</f>
        <v/>
      </c>
      <c r="R247" t="str">
        <f>IF($C247="","",IFERROR($P247*VLOOKUP($C247,'Base Dados NCM'!$A:$C,3,FALSE),"NCM não encontrado"))</f>
        <v/>
      </c>
      <c r="S247"/>
      <c r="T247" t="str">
        <f>IF($C247="","",IFERROR($P247*VLOOKUP($C247,'Base Dados NCM'!$A:$D,4,FALSE),"NCM não encontrado"))</f>
        <v/>
      </c>
      <c r="U247"/>
    </row>
    <row r="248" spans="17:21">
      <c r="Q248" t="str">
        <f>IF($C248="","",IFERROR($P248*VLOOKUP($C248,'Base Dados NCM'!$A:$B,2,FALSE),"NCM não encontrado"))</f>
        <v/>
      </c>
      <c r="R248" t="str">
        <f>IF($C248="","",IFERROR($P248*VLOOKUP($C248,'Base Dados NCM'!$A:$C,3,FALSE),"NCM não encontrado"))</f>
        <v/>
      </c>
      <c r="S248"/>
      <c r="T248" t="str">
        <f>IF($C248="","",IFERROR($P248*VLOOKUP($C248,'Base Dados NCM'!$A:$D,4,FALSE),"NCM não encontrado"))</f>
        <v/>
      </c>
      <c r="U248"/>
    </row>
    <row r="249" spans="17:21">
      <c r="Q249" t="str">
        <f>IF($C249="","",IFERROR($P249*VLOOKUP($C249,'Base Dados NCM'!$A:$B,2,FALSE),"NCM não encontrado"))</f>
        <v/>
      </c>
      <c r="R249" t="str">
        <f>IF($C249="","",IFERROR($P249*VLOOKUP($C249,'Base Dados NCM'!$A:$C,3,FALSE),"NCM não encontrado"))</f>
        <v/>
      </c>
      <c r="S249"/>
      <c r="T249" t="str">
        <f>IF($C249="","",IFERROR($P249*VLOOKUP($C249,'Base Dados NCM'!$A:$D,4,FALSE),"NCM não encontrado"))</f>
        <v/>
      </c>
      <c r="U249"/>
    </row>
    <row r="250" spans="17:21">
      <c r="Q250" t="str">
        <f>IF($C250="","",IFERROR($P250*VLOOKUP($C250,'Base Dados NCM'!$A:$B,2,FALSE),"NCM não encontrado"))</f>
        <v/>
      </c>
      <c r="R250" t="str">
        <f>IF($C250="","",IFERROR($P250*VLOOKUP($C250,'Base Dados NCM'!$A:$C,3,FALSE),"NCM não encontrado"))</f>
        <v/>
      </c>
      <c r="S250"/>
      <c r="T250" t="str">
        <f>IF($C250="","",IFERROR($P250*VLOOKUP($C250,'Base Dados NCM'!$A:$D,4,FALSE),"NCM não encontrado"))</f>
        <v/>
      </c>
      <c r="U250"/>
    </row>
    <row r="251" spans="17:21">
      <c r="Q251" t="str">
        <f>IF($C251="","",IFERROR($P251*VLOOKUP($C251,'Base Dados NCM'!$A:$B,2,FALSE),"NCM não encontrado"))</f>
        <v/>
      </c>
      <c r="R251" t="str">
        <f>IF($C251="","",IFERROR($P251*VLOOKUP($C251,'Base Dados NCM'!$A:$C,3,FALSE),"NCM não encontrado"))</f>
        <v/>
      </c>
      <c r="S251"/>
      <c r="T251" t="str">
        <f>IF($C251="","",IFERROR($P251*VLOOKUP($C251,'Base Dados NCM'!$A:$D,4,FALSE),"NCM não encontrado"))</f>
        <v/>
      </c>
      <c r="U251"/>
    </row>
    <row r="252" spans="17:21">
      <c r="Q252" t="str">
        <f>IF($C252="","",IFERROR($P252*VLOOKUP($C252,'Base Dados NCM'!$A:$B,2,FALSE),"NCM não encontrado"))</f>
        <v/>
      </c>
      <c r="R252" t="str">
        <f>IF($C252="","",IFERROR($P252*VLOOKUP($C252,'Base Dados NCM'!$A:$C,3,FALSE),"NCM não encontrado"))</f>
        <v/>
      </c>
      <c r="S252"/>
      <c r="T252" t="str">
        <f>IF($C252="","",IFERROR($P252*VLOOKUP($C252,'Base Dados NCM'!$A:$D,4,FALSE),"NCM não encontrado"))</f>
        <v/>
      </c>
      <c r="U252"/>
    </row>
    <row r="253" spans="17:21">
      <c r="Q253" t="str">
        <f>IF($C253="","",IFERROR($P253*VLOOKUP($C253,'Base Dados NCM'!$A:$B,2,FALSE),"NCM não encontrado"))</f>
        <v/>
      </c>
      <c r="R253" t="str">
        <f>IF($C253="","",IFERROR($P253*VLOOKUP($C253,'Base Dados NCM'!$A:$C,3,FALSE),"NCM não encontrado"))</f>
        <v/>
      </c>
      <c r="S253"/>
      <c r="T253" t="str">
        <f>IF($C253="","",IFERROR($P253*VLOOKUP($C253,'Base Dados NCM'!$A:$D,4,FALSE),"NCM não encontrado"))</f>
        <v/>
      </c>
      <c r="U253"/>
    </row>
    <row r="254" spans="17:21">
      <c r="Q254" t="str">
        <f>IF($C254="","",IFERROR($P254*VLOOKUP($C254,'Base Dados NCM'!$A:$B,2,FALSE),"NCM não encontrado"))</f>
        <v/>
      </c>
      <c r="R254" t="str">
        <f>IF($C254="","",IFERROR($P254*VLOOKUP($C254,'Base Dados NCM'!$A:$C,3,FALSE),"NCM não encontrado"))</f>
        <v/>
      </c>
      <c r="S254"/>
      <c r="T254" t="str">
        <f>IF($C254="","",IFERROR($P254*VLOOKUP($C254,'Base Dados NCM'!$A:$D,4,FALSE),"NCM não encontrado"))</f>
        <v/>
      </c>
      <c r="U254"/>
    </row>
    <row r="255" spans="17:21">
      <c r="Q255" t="str">
        <f>IF($C255="","",IFERROR($P255*VLOOKUP($C255,'Base Dados NCM'!$A:$B,2,FALSE),"NCM não encontrado"))</f>
        <v/>
      </c>
      <c r="R255" t="str">
        <f>IF($C255="","",IFERROR($P255*VLOOKUP($C255,'Base Dados NCM'!$A:$C,3,FALSE),"NCM não encontrado"))</f>
        <v/>
      </c>
      <c r="S255"/>
      <c r="T255" t="str">
        <f>IF($C255="","",IFERROR($P255*VLOOKUP($C255,'Base Dados NCM'!$A:$D,4,FALSE),"NCM não encontrado"))</f>
        <v/>
      </c>
      <c r="U255"/>
    </row>
    <row r="256" spans="17:21">
      <c r="Q256" t="str">
        <f>IF($C256="","",IFERROR($P256*VLOOKUP($C256,'Base Dados NCM'!$A:$B,2,FALSE),"NCM não encontrado"))</f>
        <v/>
      </c>
      <c r="R256" t="str">
        <f>IF($C256="","",IFERROR($P256*VLOOKUP($C256,'Base Dados NCM'!$A:$C,3,FALSE),"NCM não encontrado"))</f>
        <v/>
      </c>
      <c r="S256"/>
      <c r="T256" t="str">
        <f>IF($C256="","",IFERROR($P256*VLOOKUP($C256,'Base Dados NCM'!$A:$D,4,FALSE),"NCM não encontrado"))</f>
        <v/>
      </c>
      <c r="U256"/>
    </row>
    <row r="257" spans="17:21">
      <c r="Q257" t="str">
        <f>IF($C257="","",IFERROR($P257*VLOOKUP($C257,'Base Dados NCM'!$A:$B,2,FALSE),"NCM não encontrado"))</f>
        <v/>
      </c>
      <c r="R257" t="str">
        <f>IF($C257="","",IFERROR($P257*VLOOKUP($C257,'Base Dados NCM'!$A:$C,3,FALSE),"NCM não encontrado"))</f>
        <v/>
      </c>
      <c r="S257"/>
      <c r="T257" t="str">
        <f>IF($C257="","",IFERROR($P257*VLOOKUP($C257,'Base Dados NCM'!$A:$D,4,FALSE),"NCM não encontrado"))</f>
        <v/>
      </c>
      <c r="U257"/>
    </row>
    <row r="258" spans="17:21">
      <c r="Q258" t="str">
        <f>IF($C258="","",IFERROR($P258*VLOOKUP($C258,'Base Dados NCM'!$A:$B,2,FALSE),"NCM não encontrado"))</f>
        <v/>
      </c>
      <c r="R258" t="str">
        <f>IF($C258="","",IFERROR($P258*VLOOKUP($C258,'Base Dados NCM'!$A:$C,3,FALSE),"NCM não encontrado"))</f>
        <v/>
      </c>
      <c r="S258"/>
      <c r="T258" t="str">
        <f>IF($C258="","",IFERROR($P258*VLOOKUP($C258,'Base Dados NCM'!$A:$D,4,FALSE),"NCM não encontrado"))</f>
        <v/>
      </c>
      <c r="U258"/>
    </row>
    <row r="259" spans="17:21">
      <c r="Q259" t="str">
        <f>IF($C259="","",IFERROR($P259*VLOOKUP($C259,'Base Dados NCM'!$A:$B,2,FALSE),"NCM não encontrado"))</f>
        <v/>
      </c>
      <c r="R259" t="str">
        <f>IF($C259="","",IFERROR($P259*VLOOKUP($C259,'Base Dados NCM'!$A:$C,3,FALSE),"NCM não encontrado"))</f>
        <v/>
      </c>
      <c r="S259"/>
      <c r="T259" t="str">
        <f>IF($C259="","",IFERROR($P259*VLOOKUP($C259,'Base Dados NCM'!$A:$D,4,FALSE),"NCM não encontrado"))</f>
        <v/>
      </c>
      <c r="U259"/>
    </row>
    <row r="260" spans="17:21">
      <c r="Q260" t="str">
        <f>IF($C260="","",IFERROR($P260*VLOOKUP($C260,'Base Dados NCM'!$A:$B,2,FALSE),"NCM não encontrado"))</f>
        <v/>
      </c>
      <c r="R260" t="str">
        <f>IF($C260="","",IFERROR($P260*VLOOKUP($C260,'Base Dados NCM'!$A:$C,3,FALSE),"NCM não encontrado"))</f>
        <v/>
      </c>
      <c r="S260"/>
      <c r="T260" t="str">
        <f>IF($C260="","",IFERROR($P260*VLOOKUP($C260,'Base Dados NCM'!$A:$D,4,FALSE),"NCM não encontrado"))</f>
        <v/>
      </c>
      <c r="U260"/>
    </row>
    <row r="261" spans="17:21">
      <c r="Q261" t="str">
        <f>IF($C261="","",IFERROR($P261*VLOOKUP($C261,'Base Dados NCM'!$A:$B,2,FALSE),"NCM não encontrado"))</f>
        <v/>
      </c>
      <c r="R261" t="str">
        <f>IF($C261="","",IFERROR($P261*VLOOKUP($C261,'Base Dados NCM'!$A:$C,3,FALSE),"NCM não encontrado"))</f>
        <v/>
      </c>
      <c r="S261"/>
      <c r="T261" t="str">
        <f>IF($C261="","",IFERROR($P261*VLOOKUP($C261,'Base Dados NCM'!$A:$D,4,FALSE),"NCM não encontrado"))</f>
        <v/>
      </c>
      <c r="U261"/>
    </row>
    <row r="262" spans="17:21">
      <c r="Q262" t="str">
        <f>IF($C262="","",IFERROR($P262*VLOOKUP($C262,'Base Dados NCM'!$A:$B,2,FALSE),"NCM não encontrado"))</f>
        <v/>
      </c>
      <c r="R262" t="str">
        <f>IF($C262="","",IFERROR($P262*VLOOKUP($C262,'Base Dados NCM'!$A:$C,3,FALSE),"NCM não encontrado"))</f>
        <v/>
      </c>
      <c r="S262"/>
      <c r="T262" t="str">
        <f>IF($C262="","",IFERROR($P262*VLOOKUP($C262,'Base Dados NCM'!$A:$D,4,FALSE),"NCM não encontrado"))</f>
        <v/>
      </c>
      <c r="U262"/>
    </row>
    <row r="263" spans="17:21">
      <c r="Q263" t="str">
        <f>IF($C263="","",IFERROR($P263*VLOOKUP($C263,'Base Dados NCM'!$A:$B,2,FALSE),"NCM não encontrado"))</f>
        <v/>
      </c>
      <c r="R263" t="str">
        <f>IF($C263="","",IFERROR($P263*VLOOKUP($C263,'Base Dados NCM'!$A:$C,3,FALSE),"NCM não encontrado"))</f>
        <v/>
      </c>
      <c r="S263"/>
      <c r="T263" t="str">
        <f>IF($C263="","",IFERROR($P263*VLOOKUP($C263,'Base Dados NCM'!$A:$D,4,FALSE),"NCM não encontrado"))</f>
        <v/>
      </c>
      <c r="U263"/>
    </row>
    <row r="264" spans="17:21">
      <c r="Q264" t="str">
        <f>IF($C264="","",IFERROR($P264*VLOOKUP($C264,'Base Dados NCM'!$A:$B,2,FALSE),"NCM não encontrado"))</f>
        <v/>
      </c>
      <c r="R264" t="str">
        <f>IF($C264="","",IFERROR($P264*VLOOKUP($C264,'Base Dados NCM'!$A:$C,3,FALSE),"NCM não encontrado"))</f>
        <v/>
      </c>
      <c r="S264"/>
      <c r="T264" t="str">
        <f>IF($C264="","",IFERROR($P264*VLOOKUP($C264,'Base Dados NCM'!$A:$D,4,FALSE),"NCM não encontrado"))</f>
        <v/>
      </c>
      <c r="U264"/>
    </row>
    <row r="265" spans="17:21">
      <c r="Q265" t="str">
        <f>IF($C265="","",IFERROR($P265*VLOOKUP($C265,'Base Dados NCM'!$A:$B,2,FALSE),"NCM não encontrado"))</f>
        <v/>
      </c>
      <c r="R265" t="str">
        <f>IF($C265="","",IFERROR($P265*VLOOKUP($C265,'Base Dados NCM'!$A:$C,3,FALSE),"NCM não encontrado"))</f>
        <v/>
      </c>
      <c r="S265"/>
      <c r="T265" t="str">
        <f>IF($C265="","",IFERROR($P265*VLOOKUP($C265,'Base Dados NCM'!$A:$D,4,FALSE),"NCM não encontrado"))</f>
        <v/>
      </c>
      <c r="U265"/>
    </row>
    <row r="266" spans="17:21">
      <c r="Q266" t="str">
        <f>IF($C266="","",IFERROR($P266*VLOOKUP($C266,'Base Dados NCM'!$A:$B,2,FALSE),"NCM não encontrado"))</f>
        <v/>
      </c>
      <c r="R266" t="str">
        <f>IF($C266="","",IFERROR($P266*VLOOKUP($C266,'Base Dados NCM'!$A:$C,3,FALSE),"NCM não encontrado"))</f>
        <v/>
      </c>
      <c r="S266"/>
      <c r="T266" t="str">
        <f>IF($C266="","",IFERROR($P266*VLOOKUP($C266,'Base Dados NCM'!$A:$D,4,FALSE),"NCM não encontrado"))</f>
        <v/>
      </c>
      <c r="U266"/>
    </row>
    <row r="267" spans="17:21">
      <c r="Q267" t="str">
        <f>IF($C267="","",IFERROR($P267*VLOOKUP($C267,'Base Dados NCM'!$A:$B,2,FALSE),"NCM não encontrado"))</f>
        <v/>
      </c>
      <c r="R267" t="str">
        <f>IF($C267="","",IFERROR($P267*VLOOKUP($C267,'Base Dados NCM'!$A:$C,3,FALSE),"NCM não encontrado"))</f>
        <v/>
      </c>
      <c r="S267"/>
      <c r="T267" t="str">
        <f>IF($C267="","",IFERROR($P267*VLOOKUP($C267,'Base Dados NCM'!$A:$D,4,FALSE),"NCM não encontrado"))</f>
        <v/>
      </c>
      <c r="U267"/>
    </row>
    <row r="268" spans="17:21">
      <c r="Q268" t="str">
        <f>IF($C268="","",IFERROR($P268*VLOOKUP($C268,'Base Dados NCM'!$A:$B,2,FALSE),"NCM não encontrado"))</f>
        <v/>
      </c>
      <c r="R268" t="str">
        <f>IF($C268="","",IFERROR($P268*VLOOKUP($C268,'Base Dados NCM'!$A:$C,3,FALSE),"NCM não encontrado"))</f>
        <v/>
      </c>
      <c r="S268"/>
      <c r="T268" t="str">
        <f>IF($C268="","",IFERROR($P268*VLOOKUP($C268,'Base Dados NCM'!$A:$D,4,FALSE),"NCM não encontrado"))</f>
        <v/>
      </c>
      <c r="U268"/>
    </row>
    <row r="269" spans="17:21">
      <c r="Q269" t="str">
        <f>IF($C269="","",IFERROR($P269*VLOOKUP($C269,'Base Dados NCM'!$A:$B,2,FALSE),"NCM não encontrado"))</f>
        <v/>
      </c>
      <c r="R269" t="str">
        <f>IF($C269="","",IFERROR($P269*VLOOKUP($C269,'Base Dados NCM'!$A:$C,3,FALSE),"NCM não encontrado"))</f>
        <v/>
      </c>
      <c r="S269"/>
      <c r="T269" t="str">
        <f>IF($C269="","",IFERROR($P269*VLOOKUP($C269,'Base Dados NCM'!$A:$D,4,FALSE),"NCM não encontrado"))</f>
        <v/>
      </c>
      <c r="U269"/>
    </row>
    <row r="270" spans="17:21">
      <c r="Q270" t="str">
        <f>IF($C270="","",IFERROR($P270*VLOOKUP($C270,'Base Dados NCM'!$A:$B,2,FALSE),"NCM não encontrado"))</f>
        <v/>
      </c>
      <c r="R270" t="str">
        <f>IF($C270="","",IFERROR($P270*VLOOKUP($C270,'Base Dados NCM'!$A:$C,3,FALSE),"NCM não encontrado"))</f>
        <v/>
      </c>
      <c r="S270"/>
      <c r="T270" t="str">
        <f>IF($C270="","",IFERROR($P270*VLOOKUP($C270,'Base Dados NCM'!$A:$D,4,FALSE),"NCM não encontrado"))</f>
        <v/>
      </c>
      <c r="U270"/>
    </row>
    <row r="271" spans="17:21">
      <c r="Q271" t="str">
        <f>IF($C271="","",IFERROR($P271*VLOOKUP($C271,'Base Dados NCM'!$A:$B,2,FALSE),"NCM não encontrado"))</f>
        <v/>
      </c>
      <c r="R271" t="str">
        <f>IF($C271="","",IFERROR($P271*VLOOKUP($C271,'Base Dados NCM'!$A:$C,3,FALSE),"NCM não encontrado"))</f>
        <v/>
      </c>
      <c r="S271"/>
      <c r="T271" t="str">
        <f>IF($C271="","",IFERROR($P271*VLOOKUP($C271,'Base Dados NCM'!$A:$D,4,FALSE),"NCM não encontrado"))</f>
        <v/>
      </c>
      <c r="U271"/>
    </row>
    <row r="272" spans="17:21">
      <c r="Q272" t="str">
        <f>IF($C272="","",IFERROR($P272*VLOOKUP($C272,'Base Dados NCM'!$A:$B,2,FALSE),"NCM não encontrado"))</f>
        <v/>
      </c>
      <c r="R272" t="str">
        <f>IF($C272="","",IFERROR($P272*VLOOKUP($C272,'Base Dados NCM'!$A:$C,3,FALSE),"NCM não encontrado"))</f>
        <v/>
      </c>
      <c r="S272"/>
      <c r="T272" t="str">
        <f>IF($C272="","",IFERROR($P272*VLOOKUP($C272,'Base Dados NCM'!$A:$D,4,FALSE),"NCM não encontrado"))</f>
        <v/>
      </c>
      <c r="U272"/>
    </row>
    <row r="273" spans="17:21">
      <c r="Q273" t="str">
        <f>IF($C273="","",IFERROR($P273*VLOOKUP($C273,'Base Dados NCM'!$A:$B,2,FALSE),"NCM não encontrado"))</f>
        <v/>
      </c>
      <c r="R273" t="str">
        <f>IF($C273="","",IFERROR($P273*VLOOKUP($C273,'Base Dados NCM'!$A:$C,3,FALSE),"NCM não encontrado"))</f>
        <v/>
      </c>
      <c r="S273"/>
      <c r="T273" t="str">
        <f>IF($C273="","",IFERROR($P273*VLOOKUP($C273,'Base Dados NCM'!$A:$D,4,FALSE),"NCM não encontrado"))</f>
        <v/>
      </c>
      <c r="U273"/>
    </row>
    <row r="274" spans="17:21">
      <c r="Q274" t="str">
        <f>IF($C274="","",IFERROR($P274*VLOOKUP($C274,'Base Dados NCM'!$A:$B,2,FALSE),"NCM não encontrado"))</f>
        <v/>
      </c>
      <c r="R274" t="str">
        <f>IF($C274="","",IFERROR($P274*VLOOKUP($C274,'Base Dados NCM'!$A:$C,3,FALSE),"NCM não encontrado"))</f>
        <v/>
      </c>
      <c r="S274"/>
      <c r="T274" t="str">
        <f>IF($C274="","",IFERROR($P274*VLOOKUP($C274,'Base Dados NCM'!$A:$D,4,FALSE),"NCM não encontrado"))</f>
        <v/>
      </c>
      <c r="U274"/>
    </row>
    <row r="275" spans="17:21">
      <c r="Q275" t="str">
        <f>IF($C275="","",IFERROR($P275*VLOOKUP($C275,'Base Dados NCM'!$A:$B,2,FALSE),"NCM não encontrado"))</f>
        <v/>
      </c>
      <c r="R275" t="str">
        <f>IF($C275="","",IFERROR($P275*VLOOKUP($C275,'Base Dados NCM'!$A:$C,3,FALSE),"NCM não encontrado"))</f>
        <v/>
      </c>
      <c r="S275"/>
      <c r="T275" t="str">
        <f>IF($C275="","",IFERROR($P275*VLOOKUP($C275,'Base Dados NCM'!$A:$D,4,FALSE),"NCM não encontrado"))</f>
        <v/>
      </c>
      <c r="U275"/>
    </row>
    <row r="276" spans="17:21">
      <c r="Q276" t="str">
        <f>IF($C276="","",IFERROR($P276*VLOOKUP($C276,'Base Dados NCM'!$A:$B,2,FALSE),"NCM não encontrado"))</f>
        <v/>
      </c>
      <c r="R276" t="str">
        <f>IF($C276="","",IFERROR($P276*VLOOKUP($C276,'Base Dados NCM'!$A:$C,3,FALSE),"NCM não encontrado"))</f>
        <v/>
      </c>
      <c r="S276"/>
      <c r="T276" t="str">
        <f>IF($C276="","",IFERROR($P276*VLOOKUP($C276,'Base Dados NCM'!$A:$D,4,FALSE),"NCM não encontrado"))</f>
        <v/>
      </c>
      <c r="U276"/>
    </row>
    <row r="277" spans="17:21">
      <c r="Q277" t="str">
        <f>IF($C277="","",IFERROR($P277*VLOOKUP($C277,'Base Dados NCM'!$A:$B,2,FALSE),"NCM não encontrado"))</f>
        <v/>
      </c>
      <c r="R277" t="str">
        <f>IF($C277="","",IFERROR($P277*VLOOKUP($C277,'Base Dados NCM'!$A:$C,3,FALSE),"NCM não encontrado"))</f>
        <v/>
      </c>
      <c r="S277"/>
      <c r="T277" t="str">
        <f>IF($C277="","",IFERROR($P277*VLOOKUP($C277,'Base Dados NCM'!$A:$D,4,FALSE),"NCM não encontrado"))</f>
        <v/>
      </c>
      <c r="U277"/>
    </row>
    <row r="278" spans="17:21">
      <c r="Q278" t="str">
        <f>IF($C278="","",IFERROR($P278*VLOOKUP($C278,'Base Dados NCM'!$A:$B,2,FALSE),"NCM não encontrado"))</f>
        <v/>
      </c>
      <c r="R278" t="str">
        <f>IF($C278="","",IFERROR($P278*VLOOKUP($C278,'Base Dados NCM'!$A:$C,3,FALSE),"NCM não encontrado"))</f>
        <v/>
      </c>
      <c r="S278"/>
      <c r="T278" t="str">
        <f>IF($C278="","",IFERROR($P278*VLOOKUP($C278,'Base Dados NCM'!$A:$D,4,FALSE),"NCM não encontrado"))</f>
        <v/>
      </c>
      <c r="U278"/>
    </row>
    <row r="279" spans="17:21">
      <c r="Q279" t="str">
        <f>IF($C279="","",IFERROR($P279*VLOOKUP($C279,'Base Dados NCM'!$A:$B,2,FALSE),"NCM não encontrado"))</f>
        <v/>
      </c>
      <c r="R279" t="str">
        <f>IF($C279="","",IFERROR($P279*VLOOKUP($C279,'Base Dados NCM'!$A:$C,3,FALSE),"NCM não encontrado"))</f>
        <v/>
      </c>
      <c r="S279"/>
      <c r="T279" t="str">
        <f>IF($C279="","",IFERROR($P279*VLOOKUP($C279,'Base Dados NCM'!$A:$D,4,FALSE),"NCM não encontrado"))</f>
        <v/>
      </c>
      <c r="U279"/>
    </row>
    <row r="280" spans="17:21">
      <c r="Q280" t="str">
        <f>IF($C280="","",IFERROR($P280*VLOOKUP($C280,'Base Dados NCM'!$A:$B,2,FALSE),"NCM não encontrado"))</f>
        <v/>
      </c>
      <c r="R280" t="str">
        <f>IF($C280="","",IFERROR($P280*VLOOKUP($C280,'Base Dados NCM'!$A:$C,3,FALSE),"NCM não encontrado"))</f>
        <v/>
      </c>
      <c r="S280"/>
      <c r="T280" t="str">
        <f>IF($C280="","",IFERROR($P280*VLOOKUP($C280,'Base Dados NCM'!$A:$D,4,FALSE),"NCM não encontrado"))</f>
        <v/>
      </c>
      <c r="U280"/>
    </row>
    <row r="281" spans="17:21">
      <c r="Q281" t="str">
        <f>IF($C281="","",IFERROR($P281*VLOOKUP($C281,'Base Dados NCM'!$A:$B,2,FALSE),"NCM não encontrado"))</f>
        <v/>
      </c>
      <c r="R281" t="str">
        <f>IF($C281="","",IFERROR($P281*VLOOKUP($C281,'Base Dados NCM'!$A:$C,3,FALSE),"NCM não encontrado"))</f>
        <v/>
      </c>
      <c r="S281"/>
      <c r="T281" t="str">
        <f>IF($C281="","",IFERROR($P281*VLOOKUP($C281,'Base Dados NCM'!$A:$D,4,FALSE),"NCM não encontrado"))</f>
        <v/>
      </c>
      <c r="U281"/>
    </row>
    <row r="282" spans="17:21">
      <c r="Q282" t="str">
        <f>IF($C282="","",IFERROR($P282*VLOOKUP($C282,'Base Dados NCM'!$A:$B,2,FALSE),"NCM não encontrado"))</f>
        <v/>
      </c>
      <c r="R282" t="str">
        <f>IF($C282="","",IFERROR($P282*VLOOKUP($C282,'Base Dados NCM'!$A:$C,3,FALSE),"NCM não encontrado"))</f>
        <v/>
      </c>
      <c r="S282"/>
      <c r="T282" t="str">
        <f>IF($C282="","",IFERROR($P282*VLOOKUP($C282,'Base Dados NCM'!$A:$D,4,FALSE),"NCM não encontrado"))</f>
        <v/>
      </c>
      <c r="U282"/>
    </row>
    <row r="283" spans="17:21">
      <c r="Q283" t="str">
        <f>IF($C283="","",IFERROR($P283*VLOOKUP($C283,'Base Dados NCM'!$A:$B,2,FALSE),"NCM não encontrado"))</f>
        <v/>
      </c>
      <c r="R283" t="str">
        <f>IF($C283="","",IFERROR($P283*VLOOKUP($C283,'Base Dados NCM'!$A:$C,3,FALSE),"NCM não encontrado"))</f>
        <v/>
      </c>
      <c r="S283"/>
      <c r="T283" t="str">
        <f>IF($C283="","",IFERROR($P283*VLOOKUP($C283,'Base Dados NCM'!$A:$D,4,FALSE),"NCM não encontrado"))</f>
        <v/>
      </c>
      <c r="U283"/>
    </row>
    <row r="284" spans="17:21">
      <c r="Q284" t="str">
        <f>IF($C284="","",IFERROR($P284*VLOOKUP($C284,'Base Dados NCM'!$A:$B,2,FALSE),"NCM não encontrado"))</f>
        <v/>
      </c>
      <c r="R284" t="str">
        <f>IF($C284="","",IFERROR($P284*VLOOKUP($C284,'Base Dados NCM'!$A:$C,3,FALSE),"NCM não encontrado"))</f>
        <v/>
      </c>
      <c r="S284"/>
      <c r="T284" t="str">
        <f>IF($C284="","",IFERROR($P284*VLOOKUP($C284,'Base Dados NCM'!$A:$D,4,FALSE),"NCM não encontrado"))</f>
        <v/>
      </c>
      <c r="U284"/>
    </row>
    <row r="285" spans="17:21">
      <c r="Q285" t="str">
        <f>IF($C285="","",IFERROR($P285*VLOOKUP($C285,'Base Dados NCM'!$A:$B,2,FALSE),"NCM não encontrado"))</f>
        <v/>
      </c>
      <c r="R285" t="str">
        <f>IF($C285="","",IFERROR($P285*VLOOKUP($C285,'Base Dados NCM'!$A:$C,3,FALSE),"NCM não encontrado"))</f>
        <v/>
      </c>
      <c r="S285"/>
      <c r="T285" t="str">
        <f>IF($C285="","",IFERROR($P285*VLOOKUP($C285,'Base Dados NCM'!$A:$D,4,FALSE),"NCM não encontrado"))</f>
        <v/>
      </c>
      <c r="U285"/>
    </row>
    <row r="286" spans="17:21">
      <c r="Q286" t="str">
        <f>IF($C286="","",IFERROR($P286*VLOOKUP($C286,'Base Dados NCM'!$A:$B,2,FALSE),"NCM não encontrado"))</f>
        <v/>
      </c>
      <c r="R286" t="str">
        <f>IF($C286="","",IFERROR($P286*VLOOKUP($C286,'Base Dados NCM'!$A:$C,3,FALSE),"NCM não encontrado"))</f>
        <v/>
      </c>
      <c r="S286"/>
      <c r="T286" t="str">
        <f>IF($C286="","",IFERROR($P286*VLOOKUP($C286,'Base Dados NCM'!$A:$D,4,FALSE),"NCM não encontrado"))</f>
        <v/>
      </c>
      <c r="U286"/>
    </row>
    <row r="287" spans="17:21">
      <c r="Q287" t="str">
        <f>IF($C287="","",IFERROR($P287*VLOOKUP($C287,'Base Dados NCM'!$A:$B,2,FALSE),"NCM não encontrado"))</f>
        <v/>
      </c>
      <c r="R287" t="str">
        <f>IF($C287="","",IFERROR($P287*VLOOKUP($C287,'Base Dados NCM'!$A:$C,3,FALSE),"NCM não encontrado"))</f>
        <v/>
      </c>
      <c r="S287"/>
      <c r="T287" t="str">
        <f>IF($C287="","",IFERROR($P287*VLOOKUP($C287,'Base Dados NCM'!$A:$D,4,FALSE),"NCM não encontrado"))</f>
        <v/>
      </c>
      <c r="U287"/>
    </row>
    <row r="288" spans="17:21">
      <c r="Q288" t="str">
        <f>IF($C288="","",IFERROR($P288*VLOOKUP($C288,'Base Dados NCM'!$A:$B,2,FALSE),"NCM não encontrado"))</f>
        <v/>
      </c>
      <c r="R288" t="str">
        <f>IF($C288="","",IFERROR($P288*VLOOKUP($C288,'Base Dados NCM'!$A:$C,3,FALSE),"NCM não encontrado"))</f>
        <v/>
      </c>
      <c r="S288"/>
      <c r="T288" t="str">
        <f>IF($C288="","",IFERROR($P288*VLOOKUP($C288,'Base Dados NCM'!$A:$D,4,FALSE),"NCM não encontrado"))</f>
        <v/>
      </c>
      <c r="U288"/>
    </row>
    <row r="289" spans="17:21">
      <c r="Q289" t="str">
        <f>IF($C289="","",IFERROR($P289*VLOOKUP($C289,'Base Dados NCM'!$A:$B,2,FALSE),"NCM não encontrado"))</f>
        <v/>
      </c>
      <c r="R289" t="str">
        <f>IF($C289="","",IFERROR($P289*VLOOKUP($C289,'Base Dados NCM'!$A:$C,3,FALSE),"NCM não encontrado"))</f>
        <v/>
      </c>
      <c r="S289"/>
      <c r="T289" t="str">
        <f>IF($C289="","",IFERROR($P289*VLOOKUP($C289,'Base Dados NCM'!$A:$D,4,FALSE),"NCM não encontrado"))</f>
        <v/>
      </c>
      <c r="U289"/>
    </row>
    <row r="290" spans="17:21">
      <c r="Q290" t="str">
        <f>IF($C290="","",IFERROR($P290*VLOOKUP($C290,'Base Dados NCM'!$A:$B,2,FALSE),"NCM não encontrado"))</f>
        <v/>
      </c>
      <c r="R290" t="str">
        <f>IF($C290="","",IFERROR($P290*VLOOKUP($C290,'Base Dados NCM'!$A:$C,3,FALSE),"NCM não encontrado"))</f>
        <v/>
      </c>
      <c r="S290"/>
      <c r="T290" t="str">
        <f>IF($C290="","",IFERROR($P290*VLOOKUP($C290,'Base Dados NCM'!$A:$D,4,FALSE),"NCM não encontrado"))</f>
        <v/>
      </c>
      <c r="U290"/>
    </row>
    <row r="291" spans="17:21">
      <c r="Q291" t="str">
        <f>IF($C291="","",IFERROR($P291*VLOOKUP($C291,'Base Dados NCM'!$A:$B,2,FALSE),"NCM não encontrado"))</f>
        <v/>
      </c>
      <c r="R291" t="str">
        <f>IF($C291="","",IFERROR($P291*VLOOKUP($C291,'Base Dados NCM'!$A:$C,3,FALSE),"NCM não encontrado"))</f>
        <v/>
      </c>
      <c r="S291"/>
      <c r="T291" t="str">
        <f>IF($C291="","",IFERROR($P291*VLOOKUP($C291,'Base Dados NCM'!$A:$D,4,FALSE),"NCM não encontrado"))</f>
        <v/>
      </c>
      <c r="U291"/>
    </row>
    <row r="292" spans="17:21">
      <c r="Q292" t="str">
        <f>IF($C292="","",IFERROR($P292*VLOOKUP($C292,'Base Dados NCM'!$A:$B,2,FALSE),"NCM não encontrado"))</f>
        <v/>
      </c>
      <c r="R292" t="str">
        <f>IF($C292="","",IFERROR($P292*VLOOKUP($C292,'Base Dados NCM'!$A:$C,3,FALSE),"NCM não encontrado"))</f>
        <v/>
      </c>
      <c r="S292"/>
      <c r="T292" t="str">
        <f>IF($C292="","",IFERROR($P292*VLOOKUP($C292,'Base Dados NCM'!$A:$D,4,FALSE),"NCM não encontrado"))</f>
        <v/>
      </c>
      <c r="U292"/>
    </row>
    <row r="293" spans="17:21">
      <c r="Q293" t="str">
        <f>IF($C293="","",IFERROR($P293*VLOOKUP($C293,'Base Dados NCM'!$A:$B,2,FALSE),"NCM não encontrado"))</f>
        <v/>
      </c>
      <c r="R293" t="str">
        <f>IF($C293="","",IFERROR($P293*VLOOKUP($C293,'Base Dados NCM'!$A:$C,3,FALSE),"NCM não encontrado"))</f>
        <v/>
      </c>
      <c r="S293"/>
      <c r="T293" t="str">
        <f>IF($C293="","",IFERROR($P293*VLOOKUP($C293,'Base Dados NCM'!$A:$D,4,FALSE),"NCM não encontrado"))</f>
        <v/>
      </c>
      <c r="U293"/>
    </row>
    <row r="294" spans="17:21">
      <c r="Q294" t="str">
        <f>IF($C294="","",IFERROR($P294*VLOOKUP($C294,'Base Dados NCM'!$A:$B,2,FALSE),"NCM não encontrado"))</f>
        <v/>
      </c>
      <c r="R294" t="str">
        <f>IF($C294="","",IFERROR($P294*VLOOKUP($C294,'Base Dados NCM'!$A:$C,3,FALSE),"NCM não encontrado"))</f>
        <v/>
      </c>
      <c r="S294"/>
      <c r="T294" t="str">
        <f>IF($C294="","",IFERROR($P294*VLOOKUP($C294,'Base Dados NCM'!$A:$D,4,FALSE),"NCM não encontrado"))</f>
        <v/>
      </c>
      <c r="U294"/>
    </row>
    <row r="295" spans="17:21">
      <c r="Q295" t="str">
        <f>IF($C295="","",IFERROR($P295*VLOOKUP($C295,'Base Dados NCM'!$A:$B,2,FALSE),"NCM não encontrado"))</f>
        <v/>
      </c>
      <c r="R295" t="str">
        <f>IF($C295="","",IFERROR($P295*VLOOKUP($C295,'Base Dados NCM'!$A:$C,3,FALSE),"NCM não encontrado"))</f>
        <v/>
      </c>
      <c r="S295"/>
      <c r="T295" t="str">
        <f>IF($C295="","",IFERROR($P295*VLOOKUP($C295,'Base Dados NCM'!$A:$D,4,FALSE),"NCM não encontrado"))</f>
        <v/>
      </c>
      <c r="U295"/>
    </row>
    <row r="296" spans="17:21">
      <c r="Q296" t="str">
        <f>IF($C296="","",IFERROR($P296*VLOOKUP($C296,'Base Dados NCM'!$A:$B,2,FALSE),"NCM não encontrado"))</f>
        <v/>
      </c>
      <c r="R296" t="str">
        <f>IF($C296="","",IFERROR($P296*VLOOKUP($C296,'Base Dados NCM'!$A:$C,3,FALSE),"NCM não encontrado"))</f>
        <v/>
      </c>
      <c r="S296"/>
      <c r="T296" t="str">
        <f>IF($C296="","",IFERROR($P296*VLOOKUP($C296,'Base Dados NCM'!$A:$D,4,FALSE),"NCM não encontrado"))</f>
        <v/>
      </c>
      <c r="U296"/>
    </row>
    <row r="297" spans="17:21">
      <c r="Q297" t="str">
        <f>IF($C297="","",IFERROR($P297*VLOOKUP($C297,'Base Dados NCM'!$A:$B,2,FALSE),"NCM não encontrado"))</f>
        <v/>
      </c>
      <c r="R297" t="str">
        <f>IF($C297="","",IFERROR($P297*VLOOKUP($C297,'Base Dados NCM'!$A:$C,3,FALSE),"NCM não encontrado"))</f>
        <v/>
      </c>
      <c r="S297"/>
      <c r="T297" t="str">
        <f>IF($C297="","",IFERROR($P297*VLOOKUP($C297,'Base Dados NCM'!$A:$D,4,FALSE),"NCM não encontrado"))</f>
        <v/>
      </c>
      <c r="U297"/>
    </row>
    <row r="298" spans="17:21">
      <c r="Q298" t="str">
        <f>IF($C298="","",IFERROR($P298*VLOOKUP($C298,'Base Dados NCM'!$A:$B,2,FALSE),"NCM não encontrado"))</f>
        <v/>
      </c>
      <c r="R298" t="str">
        <f>IF($C298="","",IFERROR($P298*VLOOKUP($C298,'Base Dados NCM'!$A:$C,3,FALSE),"NCM não encontrado"))</f>
        <v/>
      </c>
      <c r="S298"/>
      <c r="T298" t="str">
        <f>IF($C298="","",IFERROR($P298*VLOOKUP($C298,'Base Dados NCM'!$A:$D,4,FALSE),"NCM não encontrado"))</f>
        <v/>
      </c>
      <c r="U298"/>
    </row>
    <row r="299" spans="17:21">
      <c r="Q299" t="str">
        <f>IF($C299="","",IFERROR($P299*VLOOKUP($C299,'Base Dados NCM'!$A:$B,2,FALSE),"NCM não encontrado"))</f>
        <v/>
      </c>
      <c r="R299" t="str">
        <f>IF($C299="","",IFERROR($P299*VLOOKUP($C299,'Base Dados NCM'!$A:$C,3,FALSE),"NCM não encontrado"))</f>
        <v/>
      </c>
      <c r="S299"/>
      <c r="T299" t="str">
        <f>IF($C299="","",IFERROR($P299*VLOOKUP($C299,'Base Dados NCM'!$A:$D,4,FALSE),"NCM não encontrado"))</f>
        <v/>
      </c>
      <c r="U299"/>
    </row>
    <row r="300" spans="17:21">
      <c r="Q300" t="str">
        <f>IF($C300="","",IFERROR($P300*VLOOKUP($C300,'Base Dados NCM'!$A:$B,2,FALSE),"NCM não encontrado"))</f>
        <v/>
      </c>
      <c r="R300" t="str">
        <f>IF($C300="","",IFERROR($P300*VLOOKUP($C300,'Base Dados NCM'!$A:$C,3,FALSE),"NCM não encontrado"))</f>
        <v/>
      </c>
      <c r="S300"/>
      <c r="T300" t="str">
        <f>IF($C300="","",IFERROR($P300*VLOOKUP($C300,'Base Dados NCM'!$A:$D,4,FALSE),"NCM não encontrado"))</f>
        <v/>
      </c>
      <c r="U300"/>
    </row>
    <row r="301" spans="17:21">
      <c r="Q301" t="str">
        <f>IF($C301="","",IFERROR($P301*VLOOKUP($C301,'Base Dados NCM'!$A:$B,2,FALSE),"NCM não encontrado"))</f>
        <v/>
      </c>
      <c r="R301" t="str">
        <f>IF($C301="","",IFERROR($P301*VLOOKUP($C301,'Base Dados NCM'!$A:$C,3,FALSE),"NCM não encontrado"))</f>
        <v/>
      </c>
      <c r="S301"/>
      <c r="T301" t="str">
        <f>IF($C301="","",IFERROR($P301*VLOOKUP($C301,'Base Dados NCM'!$A:$D,4,FALSE),"NCM não encontrado"))</f>
        <v/>
      </c>
      <c r="U301"/>
    </row>
    <row r="302" spans="17:21">
      <c r="Q302" t="str">
        <f>IF($C302="","",IFERROR($P302*VLOOKUP($C302,'Base Dados NCM'!$A:$B,2,FALSE),"NCM não encontrado"))</f>
        <v/>
      </c>
      <c r="R302" t="str">
        <f>IF($C302="","",IFERROR($P302*VLOOKUP($C302,'Base Dados NCM'!$A:$C,3,FALSE),"NCM não encontrado"))</f>
        <v/>
      </c>
      <c r="S302"/>
      <c r="T302" t="str">
        <f>IF($C302="","",IFERROR($P302*VLOOKUP($C302,'Base Dados NCM'!$A:$D,4,FALSE),"NCM não encontrado"))</f>
        <v/>
      </c>
      <c r="U302"/>
    </row>
    <row r="303" spans="17:21">
      <c r="Q303" t="str">
        <f>IF($C303="","",IFERROR($P303*VLOOKUP($C303,'Base Dados NCM'!$A:$B,2,FALSE),"NCM não encontrado"))</f>
        <v/>
      </c>
      <c r="R303" t="str">
        <f>IF($C303="","",IFERROR($P303*VLOOKUP($C303,'Base Dados NCM'!$A:$C,3,FALSE),"NCM não encontrado"))</f>
        <v/>
      </c>
      <c r="S303"/>
      <c r="T303" t="str">
        <f>IF($C303="","",IFERROR($P303*VLOOKUP($C303,'Base Dados NCM'!$A:$D,4,FALSE),"NCM não encontrado"))</f>
        <v/>
      </c>
      <c r="U303"/>
    </row>
    <row r="304" spans="17:21">
      <c r="Q304" t="str">
        <f>IF($C304="","",IFERROR($P304*VLOOKUP($C304,'Base Dados NCM'!$A:$B,2,FALSE),"NCM não encontrado"))</f>
        <v/>
      </c>
      <c r="R304" t="str">
        <f>IF($C304="","",IFERROR($P304*VLOOKUP($C304,'Base Dados NCM'!$A:$C,3,FALSE),"NCM não encontrado"))</f>
        <v/>
      </c>
      <c r="S304"/>
      <c r="T304" t="str">
        <f>IF($C304="","",IFERROR($P304*VLOOKUP($C304,'Base Dados NCM'!$A:$D,4,FALSE),"NCM não encontrado"))</f>
        <v/>
      </c>
      <c r="U304"/>
    </row>
    <row r="305" spans="17:21">
      <c r="Q305" t="str">
        <f>IF($C305="","",IFERROR($P305*VLOOKUP($C305,'Base Dados NCM'!$A:$B,2,FALSE),"NCM não encontrado"))</f>
        <v/>
      </c>
      <c r="R305" t="str">
        <f>IF($C305="","",IFERROR($P305*VLOOKUP($C305,'Base Dados NCM'!$A:$C,3,FALSE),"NCM não encontrado"))</f>
        <v/>
      </c>
      <c r="S305"/>
      <c r="T305" t="str">
        <f>IF($C305="","",IFERROR($P305*VLOOKUP($C305,'Base Dados NCM'!$A:$D,4,FALSE),"NCM não encontrado"))</f>
        <v/>
      </c>
      <c r="U305"/>
    </row>
    <row r="306" spans="17:21">
      <c r="Q306" t="str">
        <f>IF($C306="","",IFERROR($P306*VLOOKUP($C306,'Base Dados NCM'!$A:$B,2,FALSE),"NCM não encontrado"))</f>
        <v/>
      </c>
      <c r="R306" t="str">
        <f>IF($C306="","",IFERROR($P306*VLOOKUP($C306,'Base Dados NCM'!$A:$C,3,FALSE),"NCM não encontrado"))</f>
        <v/>
      </c>
      <c r="S306"/>
      <c r="T306" t="str">
        <f>IF($C306="","",IFERROR($P306*VLOOKUP($C306,'Base Dados NCM'!$A:$D,4,FALSE),"NCM não encontrado"))</f>
        <v/>
      </c>
      <c r="U306"/>
    </row>
    <row r="307" spans="17:21">
      <c r="Q307" t="str">
        <f>IF($C307="","",IFERROR($P307*VLOOKUP($C307,'Base Dados NCM'!$A:$B,2,FALSE),"NCM não encontrado"))</f>
        <v/>
      </c>
      <c r="R307" t="str">
        <f>IF($C307="","",IFERROR($P307*VLOOKUP($C307,'Base Dados NCM'!$A:$C,3,FALSE),"NCM não encontrado"))</f>
        <v/>
      </c>
      <c r="S307"/>
      <c r="T307" t="str">
        <f>IF($C307="","",IFERROR($P307*VLOOKUP($C307,'Base Dados NCM'!$A:$D,4,FALSE),"NCM não encontrado"))</f>
        <v/>
      </c>
      <c r="U307"/>
    </row>
    <row r="308" spans="17:21">
      <c r="Q308" t="str">
        <f>IF($C308="","",IFERROR($P308*VLOOKUP($C308,'Base Dados NCM'!$A:$B,2,FALSE),"NCM não encontrado"))</f>
        <v/>
      </c>
      <c r="R308" t="str">
        <f>IF($C308="","",IFERROR($P308*VLOOKUP($C308,'Base Dados NCM'!$A:$C,3,FALSE),"NCM não encontrado"))</f>
        <v/>
      </c>
      <c r="S308"/>
      <c r="T308" t="str">
        <f>IF($C308="","",IFERROR($P308*VLOOKUP($C308,'Base Dados NCM'!$A:$D,4,FALSE),"NCM não encontrado"))</f>
        <v/>
      </c>
      <c r="U308"/>
    </row>
    <row r="309" spans="17:21">
      <c r="Q309" t="str">
        <f>IF($C309="","",IFERROR($P309*VLOOKUP($C309,'Base Dados NCM'!$A:$B,2,FALSE),"NCM não encontrado"))</f>
        <v/>
      </c>
      <c r="R309" t="str">
        <f>IF($C309="","",IFERROR($P309*VLOOKUP($C309,'Base Dados NCM'!$A:$C,3,FALSE),"NCM não encontrado"))</f>
        <v/>
      </c>
      <c r="S309"/>
      <c r="T309" t="str">
        <f>IF($C309="","",IFERROR($P309*VLOOKUP($C309,'Base Dados NCM'!$A:$D,4,FALSE),"NCM não encontrado"))</f>
        <v/>
      </c>
      <c r="U309"/>
    </row>
    <row r="310" spans="17:21">
      <c r="Q310" t="str">
        <f>IF($C310="","",IFERROR($P310*VLOOKUP($C310,'Base Dados NCM'!$A:$B,2,FALSE),"NCM não encontrado"))</f>
        <v/>
      </c>
      <c r="R310" t="str">
        <f>IF($C310="","",IFERROR($P310*VLOOKUP($C310,'Base Dados NCM'!$A:$C,3,FALSE),"NCM não encontrado"))</f>
        <v/>
      </c>
      <c r="S310"/>
      <c r="T310" t="str">
        <f>IF($C310="","",IFERROR($P310*VLOOKUP($C310,'Base Dados NCM'!$A:$D,4,FALSE),"NCM não encontrado"))</f>
        <v/>
      </c>
      <c r="U310"/>
    </row>
    <row r="311" spans="17:21">
      <c r="Q311" t="str">
        <f>IF($C311="","",IFERROR($P311*VLOOKUP($C311,'Base Dados NCM'!$A:$B,2,FALSE),"NCM não encontrado"))</f>
        <v/>
      </c>
      <c r="R311" t="str">
        <f>IF($C311="","",IFERROR($P311*VLOOKUP($C311,'Base Dados NCM'!$A:$C,3,FALSE),"NCM não encontrado"))</f>
        <v/>
      </c>
      <c r="S311"/>
      <c r="T311" t="str">
        <f>IF($C311="","",IFERROR($P311*VLOOKUP($C311,'Base Dados NCM'!$A:$D,4,FALSE),"NCM não encontrado"))</f>
        <v/>
      </c>
      <c r="U311"/>
    </row>
    <row r="312" spans="17:21">
      <c r="Q312" t="str">
        <f>IF($C312="","",IFERROR($P312*VLOOKUP($C312,'Base Dados NCM'!$A:$B,2,FALSE),"NCM não encontrado"))</f>
        <v/>
      </c>
      <c r="R312" t="str">
        <f>IF($C312="","",IFERROR($P312*VLOOKUP($C312,'Base Dados NCM'!$A:$C,3,FALSE),"NCM não encontrado"))</f>
        <v/>
      </c>
      <c r="S312"/>
      <c r="T312" t="str">
        <f>IF($C312="","",IFERROR($P312*VLOOKUP($C312,'Base Dados NCM'!$A:$D,4,FALSE),"NCM não encontrado"))</f>
        <v/>
      </c>
      <c r="U312"/>
    </row>
    <row r="313" spans="17:21">
      <c r="Q313" t="str">
        <f>IF($C313="","",IFERROR($P313*VLOOKUP($C313,'Base Dados NCM'!$A:$B,2,FALSE),"NCM não encontrado"))</f>
        <v/>
      </c>
      <c r="R313" t="str">
        <f>IF($C313="","",IFERROR($P313*VLOOKUP($C313,'Base Dados NCM'!$A:$C,3,FALSE),"NCM não encontrado"))</f>
        <v/>
      </c>
      <c r="S313"/>
      <c r="T313" t="str">
        <f>IF($C313="","",IFERROR($P313*VLOOKUP($C313,'Base Dados NCM'!$A:$D,4,FALSE),"NCM não encontrado"))</f>
        <v/>
      </c>
      <c r="U313"/>
    </row>
    <row r="314" spans="17:21">
      <c r="Q314" t="str">
        <f>IF($C314="","",IFERROR($P314*VLOOKUP($C314,'Base Dados NCM'!$A:$B,2,FALSE),"NCM não encontrado"))</f>
        <v/>
      </c>
      <c r="R314" t="str">
        <f>IF($C314="","",IFERROR($P314*VLOOKUP($C314,'Base Dados NCM'!$A:$C,3,FALSE),"NCM não encontrado"))</f>
        <v/>
      </c>
      <c r="S314"/>
      <c r="T314" t="str">
        <f>IF($C314="","",IFERROR($P314*VLOOKUP($C314,'Base Dados NCM'!$A:$D,4,FALSE),"NCM não encontrado"))</f>
        <v/>
      </c>
      <c r="U314"/>
    </row>
    <row r="315" spans="17:21">
      <c r="Q315" t="str">
        <f>IF($C315="","",IFERROR($P315*VLOOKUP($C315,'Base Dados NCM'!$A:$B,2,FALSE),"NCM não encontrado"))</f>
        <v/>
      </c>
      <c r="R315" t="str">
        <f>IF($C315="","",IFERROR($P315*VLOOKUP($C315,'Base Dados NCM'!$A:$C,3,FALSE),"NCM não encontrado"))</f>
        <v/>
      </c>
      <c r="S315"/>
      <c r="T315" t="str">
        <f>IF($C315="","",IFERROR($P315*VLOOKUP($C315,'Base Dados NCM'!$A:$D,4,FALSE),"NCM não encontrado"))</f>
        <v/>
      </c>
      <c r="U315"/>
    </row>
    <row r="316" spans="17:21">
      <c r="Q316" t="str">
        <f>IF($C316="","",IFERROR($P316*VLOOKUP($C316,'Base Dados NCM'!$A:$B,2,FALSE),"NCM não encontrado"))</f>
        <v/>
      </c>
      <c r="R316" t="str">
        <f>IF($C316="","",IFERROR($P316*VLOOKUP($C316,'Base Dados NCM'!$A:$C,3,FALSE),"NCM não encontrado"))</f>
        <v/>
      </c>
      <c r="S316"/>
      <c r="T316" t="str">
        <f>IF($C316="","",IFERROR($P316*VLOOKUP($C316,'Base Dados NCM'!$A:$D,4,FALSE),"NCM não encontrado"))</f>
        <v/>
      </c>
      <c r="U316"/>
    </row>
    <row r="317" spans="17:21">
      <c r="Q317" t="str">
        <f>IF($C317="","",IFERROR($P317*VLOOKUP($C317,'Base Dados NCM'!$A:$B,2,FALSE),"NCM não encontrado"))</f>
        <v/>
      </c>
      <c r="R317" t="str">
        <f>IF($C317="","",IFERROR($P317*VLOOKUP($C317,'Base Dados NCM'!$A:$C,3,FALSE),"NCM não encontrado"))</f>
        <v/>
      </c>
      <c r="S317"/>
      <c r="T317" t="str">
        <f>IF($C317="","",IFERROR($P317*VLOOKUP($C317,'Base Dados NCM'!$A:$D,4,FALSE),"NCM não encontrado"))</f>
        <v/>
      </c>
      <c r="U317"/>
    </row>
    <row r="318" spans="17:21">
      <c r="Q318" t="str">
        <f>IF($C318="","",IFERROR($P318*VLOOKUP($C318,'Base Dados NCM'!$A:$B,2,FALSE),"NCM não encontrado"))</f>
        <v/>
      </c>
      <c r="R318" t="str">
        <f>IF($C318="","",IFERROR($P318*VLOOKUP($C318,'Base Dados NCM'!$A:$C,3,FALSE),"NCM não encontrado"))</f>
        <v/>
      </c>
      <c r="S318"/>
      <c r="T318" t="str">
        <f>IF($C318="","",IFERROR($P318*VLOOKUP($C318,'Base Dados NCM'!$A:$D,4,FALSE),"NCM não encontrado"))</f>
        <v/>
      </c>
      <c r="U318"/>
    </row>
    <row r="319" spans="17:21">
      <c r="Q319" t="str">
        <f>IF($C319="","",IFERROR($P319*VLOOKUP($C319,'Base Dados NCM'!$A:$B,2,FALSE),"NCM não encontrado"))</f>
        <v/>
      </c>
      <c r="R319" t="str">
        <f>IF($C319="","",IFERROR($P319*VLOOKUP($C319,'Base Dados NCM'!$A:$C,3,FALSE),"NCM não encontrado"))</f>
        <v/>
      </c>
      <c r="S319"/>
      <c r="T319" t="str">
        <f>IF($C319="","",IFERROR($P319*VLOOKUP($C319,'Base Dados NCM'!$A:$D,4,FALSE),"NCM não encontrado"))</f>
        <v/>
      </c>
      <c r="U319"/>
    </row>
    <row r="320" spans="17:21">
      <c r="Q320" t="str">
        <f>IF($C320="","",IFERROR($P320*VLOOKUP($C320,'Base Dados NCM'!$A:$B,2,FALSE),"NCM não encontrado"))</f>
        <v/>
      </c>
      <c r="R320" t="str">
        <f>IF($C320="","",IFERROR($P320*VLOOKUP($C320,'Base Dados NCM'!$A:$C,3,FALSE),"NCM não encontrado"))</f>
        <v/>
      </c>
      <c r="S320"/>
      <c r="T320" t="str">
        <f>IF($C320="","",IFERROR($P320*VLOOKUP($C320,'Base Dados NCM'!$A:$D,4,FALSE),"NCM não encontrado"))</f>
        <v/>
      </c>
      <c r="U320"/>
    </row>
    <row r="321" spans="17:21">
      <c r="Q321" t="str">
        <f>IF($C321="","",IFERROR($P321*VLOOKUP($C321,'Base Dados NCM'!$A:$B,2,FALSE),"NCM não encontrado"))</f>
        <v/>
      </c>
      <c r="R321" t="str">
        <f>IF($C321="","",IFERROR($P321*VLOOKUP($C321,'Base Dados NCM'!$A:$C,3,FALSE),"NCM não encontrado"))</f>
        <v/>
      </c>
      <c r="S321"/>
      <c r="T321" t="str">
        <f>IF($C321="","",IFERROR($P321*VLOOKUP($C321,'Base Dados NCM'!$A:$D,4,FALSE),"NCM não encontrado"))</f>
        <v/>
      </c>
      <c r="U321"/>
    </row>
    <row r="322" spans="17:21">
      <c r="Q322" t="str">
        <f>IF($C322="","",IFERROR($P322*VLOOKUP($C322,'Base Dados NCM'!$A:$B,2,FALSE),"NCM não encontrado"))</f>
        <v/>
      </c>
      <c r="R322" t="str">
        <f>IF($C322="","",IFERROR($P322*VLOOKUP($C322,'Base Dados NCM'!$A:$C,3,FALSE),"NCM não encontrado"))</f>
        <v/>
      </c>
      <c r="S322"/>
      <c r="T322" t="str">
        <f>IF($C322="","",IFERROR($P322*VLOOKUP($C322,'Base Dados NCM'!$A:$D,4,FALSE),"NCM não encontrado"))</f>
        <v/>
      </c>
      <c r="U322"/>
    </row>
    <row r="323" spans="17:21">
      <c r="Q323" t="str">
        <f>IF($C323="","",IFERROR($P323*VLOOKUP($C323,'Base Dados NCM'!$A:$B,2,FALSE),"NCM não encontrado"))</f>
        <v/>
      </c>
      <c r="R323" t="str">
        <f>IF($C323="","",IFERROR($P323*VLOOKUP($C323,'Base Dados NCM'!$A:$C,3,FALSE),"NCM não encontrado"))</f>
        <v/>
      </c>
      <c r="S323"/>
      <c r="T323" t="str">
        <f>IF($C323="","",IFERROR($P323*VLOOKUP($C323,'Base Dados NCM'!$A:$D,4,FALSE),"NCM não encontrado"))</f>
        <v/>
      </c>
      <c r="U323"/>
    </row>
    <row r="324" spans="17:21">
      <c r="Q324" t="str">
        <f>IF($C324="","",IFERROR($P324*VLOOKUP($C324,'Base Dados NCM'!$A:$B,2,FALSE),"NCM não encontrado"))</f>
        <v/>
      </c>
      <c r="R324" t="str">
        <f>IF($C324="","",IFERROR($P324*VLOOKUP($C324,'Base Dados NCM'!$A:$C,3,FALSE),"NCM não encontrado"))</f>
        <v/>
      </c>
      <c r="S324"/>
      <c r="T324" t="str">
        <f>IF($C324="","",IFERROR($P324*VLOOKUP($C324,'Base Dados NCM'!$A:$D,4,FALSE),"NCM não encontrado"))</f>
        <v/>
      </c>
      <c r="U324"/>
    </row>
    <row r="325" spans="17:21">
      <c r="Q325" t="str">
        <f>IF($C325="","",IFERROR($P325*VLOOKUP($C325,'Base Dados NCM'!$A:$B,2,FALSE),"NCM não encontrado"))</f>
        <v/>
      </c>
      <c r="R325" t="str">
        <f>IF($C325="","",IFERROR($P325*VLOOKUP($C325,'Base Dados NCM'!$A:$C,3,FALSE),"NCM não encontrado"))</f>
        <v/>
      </c>
      <c r="S325"/>
      <c r="T325" t="str">
        <f>IF($C325="","",IFERROR($P325*VLOOKUP($C325,'Base Dados NCM'!$A:$D,4,FALSE),"NCM não encontrado"))</f>
        <v/>
      </c>
      <c r="U325"/>
    </row>
    <row r="326" spans="17:21">
      <c r="Q326" t="str">
        <f>IF($C326="","",IFERROR($P326*VLOOKUP($C326,'Base Dados NCM'!$A:$B,2,FALSE),"NCM não encontrado"))</f>
        <v/>
      </c>
      <c r="R326" t="str">
        <f>IF($C326="","",IFERROR($P326*VLOOKUP($C326,'Base Dados NCM'!$A:$C,3,FALSE),"NCM não encontrado"))</f>
        <v/>
      </c>
      <c r="S326"/>
      <c r="T326" t="str">
        <f>IF($C326="","",IFERROR($P326*VLOOKUP($C326,'Base Dados NCM'!$A:$D,4,FALSE),"NCM não encontrado"))</f>
        <v/>
      </c>
      <c r="U326"/>
    </row>
    <row r="327" spans="17:21">
      <c r="Q327" t="str">
        <f>IF($C327="","",IFERROR($P327*VLOOKUP($C327,'Base Dados NCM'!$A:$B,2,FALSE),"NCM não encontrado"))</f>
        <v/>
      </c>
      <c r="R327" t="str">
        <f>IF($C327="","",IFERROR($P327*VLOOKUP($C327,'Base Dados NCM'!$A:$C,3,FALSE),"NCM não encontrado"))</f>
        <v/>
      </c>
      <c r="S327"/>
      <c r="T327" t="str">
        <f>IF($C327="","",IFERROR($P327*VLOOKUP($C327,'Base Dados NCM'!$A:$D,4,FALSE),"NCM não encontrado"))</f>
        <v/>
      </c>
      <c r="U327"/>
    </row>
    <row r="328" spans="17:21">
      <c r="Q328" t="str">
        <f>IF($C328="","",IFERROR($P328*VLOOKUP($C328,'Base Dados NCM'!$A:$B,2,FALSE),"NCM não encontrado"))</f>
        <v/>
      </c>
      <c r="R328" t="str">
        <f>IF($C328="","",IFERROR($P328*VLOOKUP($C328,'Base Dados NCM'!$A:$C,3,FALSE),"NCM não encontrado"))</f>
        <v/>
      </c>
      <c r="S328"/>
      <c r="T328" t="str">
        <f>IF($C328="","",IFERROR($P328*VLOOKUP($C328,'Base Dados NCM'!$A:$D,4,FALSE),"NCM não encontrado"))</f>
        <v/>
      </c>
      <c r="U328"/>
    </row>
    <row r="329" spans="17:21">
      <c r="Q329" t="str">
        <f>IF($C329="","",IFERROR($P329*VLOOKUP($C329,'Base Dados NCM'!$A:$B,2,FALSE),"NCM não encontrado"))</f>
        <v/>
      </c>
      <c r="R329" t="str">
        <f>IF($C329="","",IFERROR($P329*VLOOKUP($C329,'Base Dados NCM'!$A:$C,3,FALSE),"NCM não encontrado"))</f>
        <v/>
      </c>
      <c r="S329"/>
      <c r="T329" t="str">
        <f>IF($C329="","",IFERROR($P329*VLOOKUP($C329,'Base Dados NCM'!$A:$D,4,FALSE),"NCM não encontrado"))</f>
        <v/>
      </c>
      <c r="U329"/>
    </row>
    <row r="330" spans="17:21">
      <c r="Q330" t="str">
        <f>IF($C330="","",IFERROR($P330*VLOOKUP($C330,'Base Dados NCM'!$A:$B,2,FALSE),"NCM não encontrado"))</f>
        <v/>
      </c>
      <c r="R330" t="str">
        <f>IF($C330="","",IFERROR($P330*VLOOKUP($C330,'Base Dados NCM'!$A:$C,3,FALSE),"NCM não encontrado"))</f>
        <v/>
      </c>
      <c r="S330"/>
      <c r="T330" t="str">
        <f>IF($C330="","",IFERROR($P330*VLOOKUP($C330,'Base Dados NCM'!$A:$D,4,FALSE),"NCM não encontrado"))</f>
        <v/>
      </c>
      <c r="U330"/>
    </row>
    <row r="331" spans="17:21">
      <c r="Q331" t="str">
        <f>IF($C331="","",IFERROR($P331*VLOOKUP($C331,'Base Dados NCM'!$A:$B,2,FALSE),"NCM não encontrado"))</f>
        <v/>
      </c>
      <c r="R331" t="str">
        <f>IF($C331="","",IFERROR($P331*VLOOKUP($C331,'Base Dados NCM'!$A:$C,3,FALSE),"NCM não encontrado"))</f>
        <v/>
      </c>
      <c r="S331"/>
      <c r="T331" t="str">
        <f>IF($C331="","",IFERROR($P331*VLOOKUP($C331,'Base Dados NCM'!$A:$D,4,FALSE),"NCM não encontrado"))</f>
        <v/>
      </c>
      <c r="U331"/>
    </row>
    <row r="332" spans="17:21">
      <c r="Q332" t="str">
        <f>IF($C332="","",IFERROR($P332*VLOOKUP($C332,'Base Dados NCM'!$A:$B,2,FALSE),"NCM não encontrado"))</f>
        <v/>
      </c>
      <c r="R332" t="str">
        <f>IF($C332="","",IFERROR($P332*VLOOKUP($C332,'Base Dados NCM'!$A:$C,3,FALSE),"NCM não encontrado"))</f>
        <v/>
      </c>
      <c r="S332"/>
      <c r="T332" t="str">
        <f>IF($C332="","",IFERROR($P332*VLOOKUP($C332,'Base Dados NCM'!$A:$D,4,FALSE),"NCM não encontrado"))</f>
        <v/>
      </c>
      <c r="U332"/>
    </row>
    <row r="333" spans="17:21">
      <c r="Q333" t="str">
        <f>IF($C333="","",IFERROR($P333*VLOOKUP($C333,'Base Dados NCM'!$A:$B,2,FALSE),"NCM não encontrado"))</f>
        <v/>
      </c>
      <c r="R333" t="str">
        <f>IF($C333="","",IFERROR($P333*VLOOKUP($C333,'Base Dados NCM'!$A:$C,3,FALSE),"NCM não encontrado"))</f>
        <v/>
      </c>
      <c r="S333"/>
      <c r="T333" t="str">
        <f>IF($C333="","",IFERROR($P333*VLOOKUP($C333,'Base Dados NCM'!$A:$D,4,FALSE),"NCM não encontrado"))</f>
        <v/>
      </c>
      <c r="U333"/>
    </row>
    <row r="334" spans="17:21">
      <c r="Q334" t="str">
        <f>IF($C334="","",IFERROR($P334*VLOOKUP($C334,'Base Dados NCM'!$A:$B,2,FALSE),"NCM não encontrado"))</f>
        <v/>
      </c>
      <c r="R334" t="str">
        <f>IF($C334="","",IFERROR($P334*VLOOKUP($C334,'Base Dados NCM'!$A:$C,3,FALSE),"NCM não encontrado"))</f>
        <v/>
      </c>
      <c r="S334"/>
      <c r="T334" t="str">
        <f>IF($C334="","",IFERROR($P334*VLOOKUP($C334,'Base Dados NCM'!$A:$D,4,FALSE),"NCM não encontrado"))</f>
        <v/>
      </c>
      <c r="U334"/>
    </row>
    <row r="335" spans="17:21">
      <c r="Q335" t="str">
        <f>IF($C335="","",IFERROR($P335*VLOOKUP($C335,'Base Dados NCM'!$A:$B,2,FALSE),"NCM não encontrado"))</f>
        <v/>
      </c>
      <c r="R335" t="str">
        <f>IF($C335="","",IFERROR($P335*VLOOKUP($C335,'Base Dados NCM'!$A:$C,3,FALSE),"NCM não encontrado"))</f>
        <v/>
      </c>
      <c r="S335"/>
      <c r="T335" t="str">
        <f>IF($C335="","",IFERROR($P335*VLOOKUP($C335,'Base Dados NCM'!$A:$D,4,FALSE),"NCM não encontrado"))</f>
        <v/>
      </c>
      <c r="U335"/>
    </row>
    <row r="336" spans="17:21">
      <c r="Q336" t="str">
        <f>IF($C336="","",IFERROR($P336*VLOOKUP($C336,'Base Dados NCM'!$A:$B,2,FALSE),"NCM não encontrado"))</f>
        <v/>
      </c>
      <c r="R336" t="str">
        <f>IF($C336="","",IFERROR($P336*VLOOKUP($C336,'Base Dados NCM'!$A:$C,3,FALSE),"NCM não encontrado"))</f>
        <v/>
      </c>
      <c r="S336"/>
      <c r="T336" t="str">
        <f>IF($C336="","",IFERROR($P336*VLOOKUP($C336,'Base Dados NCM'!$A:$D,4,FALSE),"NCM não encontrado"))</f>
        <v/>
      </c>
      <c r="U336"/>
    </row>
    <row r="337" spans="17:21">
      <c r="Q337" t="str">
        <f>IF($C337="","",IFERROR($P337*VLOOKUP($C337,'Base Dados NCM'!$A:$B,2,FALSE),"NCM não encontrado"))</f>
        <v/>
      </c>
      <c r="R337" t="str">
        <f>IF($C337="","",IFERROR($P337*VLOOKUP($C337,'Base Dados NCM'!$A:$C,3,FALSE),"NCM não encontrado"))</f>
        <v/>
      </c>
      <c r="S337"/>
      <c r="T337" t="str">
        <f>IF($C337="","",IFERROR($P337*VLOOKUP($C337,'Base Dados NCM'!$A:$D,4,FALSE),"NCM não encontrado"))</f>
        <v/>
      </c>
      <c r="U337"/>
    </row>
    <row r="338" spans="17:21">
      <c r="Q338" t="str">
        <f>IF($C338="","",IFERROR($P338*VLOOKUP($C338,'Base Dados NCM'!$A:$B,2,FALSE),"NCM não encontrado"))</f>
        <v/>
      </c>
      <c r="R338" t="str">
        <f>IF($C338="","",IFERROR($P338*VLOOKUP($C338,'Base Dados NCM'!$A:$C,3,FALSE),"NCM não encontrado"))</f>
        <v/>
      </c>
      <c r="S338"/>
      <c r="T338" t="str">
        <f>IF($C338="","",IFERROR($P338*VLOOKUP($C338,'Base Dados NCM'!$A:$D,4,FALSE),"NCM não encontrado"))</f>
        <v/>
      </c>
      <c r="U338"/>
    </row>
    <row r="339" spans="17:21">
      <c r="Q339" t="str">
        <f>IF($C339="","",IFERROR($P339*VLOOKUP($C339,'Base Dados NCM'!$A:$B,2,FALSE),"NCM não encontrado"))</f>
        <v/>
      </c>
      <c r="R339" t="str">
        <f>IF($C339="","",IFERROR($P339*VLOOKUP($C339,'Base Dados NCM'!$A:$C,3,FALSE),"NCM não encontrado"))</f>
        <v/>
      </c>
      <c r="S339"/>
      <c r="T339" t="str">
        <f>IF($C339="","",IFERROR($P339*VLOOKUP($C339,'Base Dados NCM'!$A:$D,4,FALSE),"NCM não encontrado"))</f>
        <v/>
      </c>
      <c r="U339"/>
    </row>
    <row r="340" spans="17:21">
      <c r="Q340" t="str">
        <f>IF($C340="","",IFERROR($P340*VLOOKUP($C340,'Base Dados NCM'!$A:$B,2,FALSE),"NCM não encontrado"))</f>
        <v/>
      </c>
      <c r="R340" t="str">
        <f>IF($C340="","",IFERROR($P340*VLOOKUP($C340,'Base Dados NCM'!$A:$C,3,FALSE),"NCM não encontrado"))</f>
        <v/>
      </c>
      <c r="S340"/>
      <c r="T340" t="str">
        <f>IF($C340="","",IFERROR($P340*VLOOKUP($C340,'Base Dados NCM'!$A:$D,4,FALSE),"NCM não encontrado"))</f>
        <v/>
      </c>
      <c r="U340"/>
    </row>
    <row r="341" spans="17:21">
      <c r="Q341" t="str">
        <f>IF($C341="","",IFERROR($P341*VLOOKUP($C341,'Base Dados NCM'!$A:$B,2,FALSE),"NCM não encontrado"))</f>
        <v/>
      </c>
      <c r="R341" t="str">
        <f>IF($C341="","",IFERROR($P341*VLOOKUP($C341,'Base Dados NCM'!$A:$C,3,FALSE),"NCM não encontrado"))</f>
        <v/>
      </c>
      <c r="S341"/>
      <c r="T341" t="str">
        <f>IF($C341="","",IFERROR($P341*VLOOKUP($C341,'Base Dados NCM'!$A:$D,4,FALSE),"NCM não encontrado"))</f>
        <v/>
      </c>
      <c r="U341"/>
    </row>
    <row r="342" spans="17:21">
      <c r="Q342" t="str">
        <f>IF($C342="","",IFERROR($P342*VLOOKUP($C342,'Base Dados NCM'!$A:$B,2,FALSE),"NCM não encontrado"))</f>
        <v/>
      </c>
      <c r="R342" t="str">
        <f>IF($C342="","",IFERROR($P342*VLOOKUP($C342,'Base Dados NCM'!$A:$C,3,FALSE),"NCM não encontrado"))</f>
        <v/>
      </c>
      <c r="S342"/>
      <c r="T342" t="str">
        <f>IF($C342="","",IFERROR($P342*VLOOKUP($C342,'Base Dados NCM'!$A:$D,4,FALSE),"NCM não encontrado"))</f>
        <v/>
      </c>
      <c r="U342"/>
    </row>
    <row r="343" spans="17:21">
      <c r="Q343" t="str">
        <f>IF($C343="","",IFERROR($P343*VLOOKUP($C343,'Base Dados NCM'!$A:$B,2,FALSE),"NCM não encontrado"))</f>
        <v/>
      </c>
      <c r="R343" t="str">
        <f>IF($C343="","",IFERROR($P343*VLOOKUP($C343,'Base Dados NCM'!$A:$C,3,FALSE),"NCM não encontrado"))</f>
        <v/>
      </c>
      <c r="S343"/>
      <c r="T343" t="str">
        <f>IF($C343="","",IFERROR($P343*VLOOKUP($C343,'Base Dados NCM'!$A:$D,4,FALSE),"NCM não encontrado"))</f>
        <v/>
      </c>
      <c r="U343"/>
    </row>
    <row r="344" spans="17:21">
      <c r="Q344" t="str">
        <f>IF($C344="","",IFERROR($P344*VLOOKUP($C344,'Base Dados NCM'!$A:$B,2,FALSE),"NCM não encontrado"))</f>
        <v/>
      </c>
      <c r="R344" t="str">
        <f>IF($C344="","",IFERROR($P344*VLOOKUP($C344,'Base Dados NCM'!$A:$C,3,FALSE),"NCM não encontrado"))</f>
        <v/>
      </c>
      <c r="S344"/>
      <c r="T344" t="str">
        <f>IF($C344="","",IFERROR($P344*VLOOKUP($C344,'Base Dados NCM'!$A:$D,4,FALSE),"NCM não encontrado"))</f>
        <v/>
      </c>
      <c r="U344"/>
    </row>
    <row r="345" spans="17:21">
      <c r="Q345" t="str">
        <f>IF($C345="","",IFERROR($P345*VLOOKUP($C345,'Base Dados NCM'!$A:$B,2,FALSE),"NCM não encontrado"))</f>
        <v/>
      </c>
      <c r="R345" t="str">
        <f>IF($C345="","",IFERROR($P345*VLOOKUP($C345,'Base Dados NCM'!$A:$C,3,FALSE),"NCM não encontrado"))</f>
        <v/>
      </c>
      <c r="S345"/>
      <c r="T345" t="str">
        <f>IF($C345="","",IFERROR($P345*VLOOKUP($C345,'Base Dados NCM'!$A:$D,4,FALSE),"NCM não encontrado"))</f>
        <v/>
      </c>
      <c r="U345"/>
    </row>
    <row r="346" spans="17:21">
      <c r="Q346" t="str">
        <f>IF($C346="","",IFERROR($P346*VLOOKUP($C346,'Base Dados NCM'!$A:$B,2,FALSE),"NCM não encontrado"))</f>
        <v/>
      </c>
      <c r="R346" t="str">
        <f>IF($C346="","",IFERROR($P346*VLOOKUP($C346,'Base Dados NCM'!$A:$C,3,FALSE),"NCM não encontrado"))</f>
        <v/>
      </c>
      <c r="S346"/>
      <c r="T346" t="str">
        <f>IF($C346="","",IFERROR($P346*VLOOKUP($C346,'Base Dados NCM'!$A:$D,4,FALSE),"NCM não encontrado"))</f>
        <v/>
      </c>
      <c r="U346"/>
    </row>
    <row r="347" spans="17:21">
      <c r="Q347" t="str">
        <f>IF($C347="","",IFERROR($P347*VLOOKUP($C347,'Base Dados NCM'!$A:$B,2,FALSE),"NCM não encontrado"))</f>
        <v/>
      </c>
      <c r="R347" t="str">
        <f>IF($C347="","",IFERROR($P347*VLOOKUP($C347,'Base Dados NCM'!$A:$C,3,FALSE),"NCM não encontrado"))</f>
        <v/>
      </c>
      <c r="S347"/>
      <c r="T347" t="str">
        <f>IF($C347="","",IFERROR($P347*VLOOKUP($C347,'Base Dados NCM'!$A:$D,4,FALSE),"NCM não encontrado"))</f>
        <v/>
      </c>
      <c r="U347"/>
    </row>
    <row r="348" spans="17:21">
      <c r="Q348" t="str">
        <f>IF($C348="","",IFERROR($P348*VLOOKUP($C348,'Base Dados NCM'!$A:$B,2,FALSE),"NCM não encontrado"))</f>
        <v/>
      </c>
      <c r="R348" t="str">
        <f>IF($C348="","",IFERROR($P348*VLOOKUP($C348,'Base Dados NCM'!$A:$C,3,FALSE),"NCM não encontrado"))</f>
        <v/>
      </c>
      <c r="S348"/>
      <c r="T348" t="str">
        <f>IF($C348="","",IFERROR($P348*VLOOKUP($C348,'Base Dados NCM'!$A:$D,4,FALSE),"NCM não encontrado"))</f>
        <v/>
      </c>
      <c r="U348"/>
    </row>
    <row r="349" spans="17:21">
      <c r="Q349" t="str">
        <f>IF($C349="","",IFERROR($P349*VLOOKUP($C349,'Base Dados NCM'!$A:$B,2,FALSE),"NCM não encontrado"))</f>
        <v/>
      </c>
      <c r="R349" t="str">
        <f>IF($C349="","",IFERROR($P349*VLOOKUP($C349,'Base Dados NCM'!$A:$C,3,FALSE),"NCM não encontrado"))</f>
        <v/>
      </c>
      <c r="S349"/>
      <c r="T349" t="str">
        <f>IF($C349="","",IFERROR($P349*VLOOKUP($C349,'Base Dados NCM'!$A:$D,4,FALSE),"NCM não encontrado"))</f>
        <v/>
      </c>
      <c r="U349"/>
    </row>
    <row r="350" spans="17:21">
      <c r="Q350" t="str">
        <f>IF($C350="","",IFERROR($P350*VLOOKUP($C350,'Base Dados NCM'!$A:$B,2,FALSE),"NCM não encontrado"))</f>
        <v/>
      </c>
      <c r="R350" t="str">
        <f>IF($C350="","",IFERROR($P350*VLOOKUP($C350,'Base Dados NCM'!$A:$C,3,FALSE),"NCM não encontrado"))</f>
        <v/>
      </c>
      <c r="S350"/>
      <c r="T350" t="str">
        <f>IF($C350="","",IFERROR($P350*VLOOKUP($C350,'Base Dados NCM'!$A:$D,4,FALSE),"NCM não encontrado"))</f>
        <v/>
      </c>
      <c r="U350"/>
    </row>
    <row r="351" spans="17:21">
      <c r="Q351" t="str">
        <f>IF($C351="","",IFERROR($P351*VLOOKUP($C351,'Base Dados NCM'!$A:$B,2,FALSE),"NCM não encontrado"))</f>
        <v/>
      </c>
      <c r="R351" t="str">
        <f>IF($C351="","",IFERROR($P351*VLOOKUP($C351,'Base Dados NCM'!$A:$C,3,FALSE),"NCM não encontrado"))</f>
        <v/>
      </c>
      <c r="S351"/>
      <c r="T351" t="str">
        <f>IF($C351="","",IFERROR($P351*VLOOKUP($C351,'Base Dados NCM'!$A:$D,4,FALSE),"NCM não encontrado"))</f>
        <v/>
      </c>
      <c r="U351"/>
    </row>
    <row r="352" spans="17:21">
      <c r="Q352" t="str">
        <f>IF($C352="","",IFERROR($P352*VLOOKUP($C352,'Base Dados NCM'!$A:$B,2,FALSE),"NCM não encontrado"))</f>
        <v/>
      </c>
      <c r="R352" t="str">
        <f>IF($C352="","",IFERROR($P352*VLOOKUP($C352,'Base Dados NCM'!$A:$C,3,FALSE),"NCM não encontrado"))</f>
        <v/>
      </c>
      <c r="S352"/>
      <c r="T352" t="str">
        <f>IF($C352="","",IFERROR($P352*VLOOKUP($C352,'Base Dados NCM'!$A:$D,4,FALSE),"NCM não encontrado"))</f>
        <v/>
      </c>
      <c r="U352"/>
    </row>
    <row r="353" spans="17:21">
      <c r="Q353" t="str">
        <f>IF($C353="","",IFERROR($P353*VLOOKUP($C353,'Base Dados NCM'!$A:$B,2,FALSE),"NCM não encontrado"))</f>
        <v/>
      </c>
      <c r="R353" t="str">
        <f>IF($C353="","",IFERROR($P353*VLOOKUP($C353,'Base Dados NCM'!$A:$C,3,FALSE),"NCM não encontrado"))</f>
        <v/>
      </c>
      <c r="S353"/>
      <c r="T353" t="str">
        <f>IF($C353="","",IFERROR($P353*VLOOKUP($C353,'Base Dados NCM'!$A:$D,4,FALSE),"NCM não encontrado"))</f>
        <v/>
      </c>
      <c r="U353"/>
    </row>
    <row r="354" spans="17:21">
      <c r="Q354" t="str">
        <f>IF($C354="","",IFERROR($P354*VLOOKUP($C354,'Base Dados NCM'!$A:$B,2,FALSE),"NCM não encontrado"))</f>
        <v/>
      </c>
      <c r="R354" t="str">
        <f>IF($C354="","",IFERROR($P354*VLOOKUP($C354,'Base Dados NCM'!$A:$C,3,FALSE),"NCM não encontrado"))</f>
        <v/>
      </c>
      <c r="S354"/>
      <c r="T354" t="str">
        <f>IF($C354="","",IFERROR($P354*VLOOKUP($C354,'Base Dados NCM'!$A:$D,4,FALSE),"NCM não encontrado"))</f>
        <v/>
      </c>
      <c r="U354"/>
    </row>
    <row r="355" spans="17:21">
      <c r="Q355" t="str">
        <f>IF($C355="","",IFERROR($P355*VLOOKUP($C355,'Base Dados NCM'!$A:$B,2,FALSE),"NCM não encontrado"))</f>
        <v/>
      </c>
      <c r="R355" t="str">
        <f>IF($C355="","",IFERROR($P355*VLOOKUP($C355,'Base Dados NCM'!$A:$C,3,FALSE),"NCM não encontrado"))</f>
        <v/>
      </c>
      <c r="S355"/>
      <c r="T355" t="str">
        <f>IF($C355="","",IFERROR($P355*VLOOKUP($C355,'Base Dados NCM'!$A:$D,4,FALSE),"NCM não encontrado"))</f>
        <v/>
      </c>
      <c r="U355"/>
    </row>
    <row r="356" spans="17:21">
      <c r="Q356" t="str">
        <f>IF($C356="","",IFERROR($P356*VLOOKUP($C356,'Base Dados NCM'!$A:$B,2,FALSE),"NCM não encontrado"))</f>
        <v/>
      </c>
      <c r="R356" t="str">
        <f>IF($C356="","",IFERROR($P356*VLOOKUP($C356,'Base Dados NCM'!$A:$C,3,FALSE),"NCM não encontrado"))</f>
        <v/>
      </c>
      <c r="S356"/>
      <c r="T356" t="str">
        <f>IF($C356="","",IFERROR($P356*VLOOKUP($C356,'Base Dados NCM'!$A:$D,4,FALSE),"NCM não encontrado"))</f>
        <v/>
      </c>
      <c r="U356"/>
    </row>
    <row r="357" spans="17:21">
      <c r="Q357" t="str">
        <f>IF($C357="","",IFERROR($P357*VLOOKUP($C357,'Base Dados NCM'!$A:$B,2,FALSE),"NCM não encontrado"))</f>
        <v/>
      </c>
      <c r="R357" t="str">
        <f>IF($C357="","",IFERROR($P357*VLOOKUP($C357,'Base Dados NCM'!$A:$C,3,FALSE),"NCM não encontrado"))</f>
        <v/>
      </c>
      <c r="S357"/>
      <c r="T357" t="str">
        <f>IF($C357="","",IFERROR($P357*VLOOKUP($C357,'Base Dados NCM'!$A:$D,4,FALSE),"NCM não encontrado"))</f>
        <v/>
      </c>
      <c r="U357"/>
    </row>
    <row r="358" spans="17:21">
      <c r="Q358" t="str">
        <f>IF($C358="","",IFERROR($P358*VLOOKUP($C358,'Base Dados NCM'!$A:$B,2,FALSE),"NCM não encontrado"))</f>
        <v/>
      </c>
      <c r="R358" t="str">
        <f>IF($C358="","",IFERROR($P358*VLOOKUP($C358,'Base Dados NCM'!$A:$C,3,FALSE),"NCM não encontrado"))</f>
        <v/>
      </c>
      <c r="S358"/>
      <c r="T358" t="str">
        <f>IF($C358="","",IFERROR($P358*VLOOKUP($C358,'Base Dados NCM'!$A:$D,4,FALSE),"NCM não encontrado"))</f>
        <v/>
      </c>
      <c r="U358"/>
    </row>
    <row r="359" spans="17:21">
      <c r="Q359" t="str">
        <f>IF($C359="","",IFERROR($P359*VLOOKUP($C359,'Base Dados NCM'!$A:$B,2,FALSE),"NCM não encontrado"))</f>
        <v/>
      </c>
      <c r="R359" t="str">
        <f>IF($C359="","",IFERROR($P359*VLOOKUP($C359,'Base Dados NCM'!$A:$C,3,FALSE),"NCM não encontrado"))</f>
        <v/>
      </c>
      <c r="S359"/>
      <c r="T359" t="str">
        <f>IF($C359="","",IFERROR($P359*VLOOKUP($C359,'Base Dados NCM'!$A:$D,4,FALSE),"NCM não encontrado"))</f>
        <v/>
      </c>
      <c r="U359"/>
    </row>
    <row r="360" spans="17:21">
      <c r="Q360" t="str">
        <f>IF($C360="","",IFERROR($P360*VLOOKUP($C360,'Base Dados NCM'!$A:$B,2,FALSE),"NCM não encontrado"))</f>
        <v/>
      </c>
      <c r="R360" t="str">
        <f>IF($C360="","",IFERROR($P360*VLOOKUP($C360,'Base Dados NCM'!$A:$C,3,FALSE),"NCM não encontrado"))</f>
        <v/>
      </c>
      <c r="S360"/>
      <c r="T360" t="str">
        <f>IF($C360="","",IFERROR($P360*VLOOKUP($C360,'Base Dados NCM'!$A:$D,4,FALSE),"NCM não encontrado"))</f>
        <v/>
      </c>
      <c r="U360"/>
    </row>
    <row r="361" spans="17:21">
      <c r="Q361" t="str">
        <f>IF($C361="","",IFERROR($P361*VLOOKUP($C361,'Base Dados NCM'!$A:$B,2,FALSE),"NCM não encontrado"))</f>
        <v/>
      </c>
      <c r="R361" t="str">
        <f>IF($C361="","",IFERROR($P361*VLOOKUP($C361,'Base Dados NCM'!$A:$C,3,FALSE),"NCM não encontrado"))</f>
        <v/>
      </c>
      <c r="S361"/>
      <c r="T361" t="str">
        <f>IF($C361="","",IFERROR($P361*VLOOKUP($C361,'Base Dados NCM'!$A:$D,4,FALSE),"NCM não encontrado"))</f>
        <v/>
      </c>
      <c r="U361"/>
    </row>
    <row r="362" spans="17:21">
      <c r="Q362" t="str">
        <f>IF($C362="","",IFERROR($P362*VLOOKUP($C362,'Base Dados NCM'!$A:$B,2,FALSE),"NCM não encontrado"))</f>
        <v/>
      </c>
      <c r="R362" t="str">
        <f>IF($C362="","",IFERROR($P362*VLOOKUP($C362,'Base Dados NCM'!$A:$C,3,FALSE),"NCM não encontrado"))</f>
        <v/>
      </c>
      <c r="S362"/>
      <c r="T362" t="str">
        <f>IF($C362="","",IFERROR($P362*VLOOKUP($C362,'Base Dados NCM'!$A:$D,4,FALSE),"NCM não encontrado"))</f>
        <v/>
      </c>
      <c r="U362"/>
    </row>
    <row r="363" spans="17:21">
      <c r="Q363" t="str">
        <f>IF($C363="","",IFERROR($P363*VLOOKUP($C363,'Base Dados NCM'!$A:$B,2,FALSE),"NCM não encontrado"))</f>
        <v/>
      </c>
      <c r="R363" t="str">
        <f>IF($C363="","",IFERROR($P363*VLOOKUP($C363,'Base Dados NCM'!$A:$C,3,FALSE),"NCM não encontrado"))</f>
        <v/>
      </c>
      <c r="S363"/>
      <c r="T363" t="str">
        <f>IF($C363="","",IFERROR($P363*VLOOKUP($C363,'Base Dados NCM'!$A:$D,4,FALSE),"NCM não encontrado"))</f>
        <v/>
      </c>
      <c r="U363"/>
    </row>
    <row r="364" spans="17:21">
      <c r="Q364" t="str">
        <f>IF($C364="","",IFERROR($P364*VLOOKUP($C364,'Base Dados NCM'!$A:$B,2,FALSE),"NCM não encontrado"))</f>
        <v/>
      </c>
      <c r="R364" t="str">
        <f>IF($C364="","",IFERROR($P364*VLOOKUP($C364,'Base Dados NCM'!$A:$C,3,FALSE),"NCM não encontrado"))</f>
        <v/>
      </c>
      <c r="S364"/>
      <c r="T364" t="str">
        <f>IF($C364="","",IFERROR($P364*VLOOKUP($C364,'Base Dados NCM'!$A:$D,4,FALSE),"NCM não encontrado"))</f>
        <v/>
      </c>
      <c r="U364"/>
    </row>
    <row r="365" spans="17:21">
      <c r="Q365" t="str">
        <f>IF($C365="","",IFERROR($P365*VLOOKUP($C365,'Base Dados NCM'!$A:$B,2,FALSE),"NCM não encontrado"))</f>
        <v/>
      </c>
      <c r="R365" t="str">
        <f>IF($C365="","",IFERROR($P365*VLOOKUP($C365,'Base Dados NCM'!$A:$C,3,FALSE),"NCM não encontrado"))</f>
        <v/>
      </c>
      <c r="S365"/>
      <c r="T365" t="str">
        <f>IF($C365="","",IFERROR($P365*VLOOKUP($C365,'Base Dados NCM'!$A:$D,4,FALSE),"NCM não encontrado"))</f>
        <v/>
      </c>
      <c r="U365"/>
    </row>
    <row r="366" spans="17:21">
      <c r="Q366" t="str">
        <f>IF($C366="","",IFERROR($P366*VLOOKUP($C366,'Base Dados NCM'!$A:$B,2,FALSE),"NCM não encontrado"))</f>
        <v/>
      </c>
      <c r="R366" t="str">
        <f>IF($C366="","",IFERROR($P366*VLOOKUP($C366,'Base Dados NCM'!$A:$C,3,FALSE),"NCM não encontrado"))</f>
        <v/>
      </c>
      <c r="S366"/>
      <c r="T366" t="str">
        <f>IF($C366="","",IFERROR($P366*VLOOKUP($C366,'Base Dados NCM'!$A:$D,4,FALSE),"NCM não encontrado"))</f>
        <v/>
      </c>
      <c r="U366"/>
    </row>
    <row r="367" spans="17:21">
      <c r="Q367" t="str">
        <f>IF($C367="","",IFERROR($P367*VLOOKUP($C367,'Base Dados NCM'!$A:$B,2,FALSE),"NCM não encontrado"))</f>
        <v/>
      </c>
      <c r="R367" t="str">
        <f>IF($C367="","",IFERROR($P367*VLOOKUP($C367,'Base Dados NCM'!$A:$C,3,FALSE),"NCM não encontrado"))</f>
        <v/>
      </c>
      <c r="S367"/>
      <c r="T367" t="str">
        <f>IF($C367="","",IFERROR($P367*VLOOKUP($C367,'Base Dados NCM'!$A:$D,4,FALSE),"NCM não encontrado"))</f>
        <v/>
      </c>
      <c r="U367"/>
    </row>
    <row r="368" spans="17:21">
      <c r="Q368" t="str">
        <f>IF($C368="","",IFERROR($P368*VLOOKUP($C368,'Base Dados NCM'!$A:$B,2,FALSE),"NCM não encontrado"))</f>
        <v/>
      </c>
      <c r="R368" t="str">
        <f>IF($C368="","",IFERROR($P368*VLOOKUP($C368,'Base Dados NCM'!$A:$C,3,FALSE),"NCM não encontrado"))</f>
        <v/>
      </c>
      <c r="S368"/>
      <c r="T368" t="str">
        <f>IF($C368="","",IFERROR($P368*VLOOKUP($C368,'Base Dados NCM'!$A:$D,4,FALSE),"NCM não encontrado"))</f>
        <v/>
      </c>
      <c r="U368"/>
    </row>
    <row r="369" spans="17:21">
      <c r="Q369" t="str">
        <f>IF($C369="","",IFERROR($P369*VLOOKUP($C369,'Base Dados NCM'!$A:$B,2,FALSE),"NCM não encontrado"))</f>
        <v/>
      </c>
      <c r="R369" t="str">
        <f>IF($C369="","",IFERROR($P369*VLOOKUP($C369,'Base Dados NCM'!$A:$C,3,FALSE),"NCM não encontrado"))</f>
        <v/>
      </c>
      <c r="S369"/>
      <c r="T369" t="str">
        <f>IF($C369="","",IFERROR($P369*VLOOKUP($C369,'Base Dados NCM'!$A:$D,4,FALSE),"NCM não encontrado"))</f>
        <v/>
      </c>
      <c r="U369"/>
    </row>
    <row r="370" spans="17:21">
      <c r="Q370" t="str">
        <f>IF($C370="","",IFERROR($P370*VLOOKUP($C370,'Base Dados NCM'!$A:$B,2,FALSE),"NCM não encontrado"))</f>
        <v/>
      </c>
      <c r="R370" t="str">
        <f>IF($C370="","",IFERROR($P370*VLOOKUP($C370,'Base Dados NCM'!$A:$C,3,FALSE),"NCM não encontrado"))</f>
        <v/>
      </c>
      <c r="S370"/>
      <c r="T370" t="str">
        <f>IF($C370="","",IFERROR($P370*VLOOKUP($C370,'Base Dados NCM'!$A:$D,4,FALSE),"NCM não encontrado"))</f>
        <v/>
      </c>
      <c r="U370"/>
    </row>
    <row r="371" spans="17:21">
      <c r="Q371" t="str">
        <f>IF($C371="","",IFERROR($P371*VLOOKUP($C371,'Base Dados NCM'!$A:$B,2,FALSE),"NCM não encontrado"))</f>
        <v/>
      </c>
      <c r="R371" t="str">
        <f>IF($C371="","",IFERROR($P371*VLOOKUP($C371,'Base Dados NCM'!$A:$C,3,FALSE),"NCM não encontrado"))</f>
        <v/>
      </c>
      <c r="S371"/>
      <c r="T371" t="str">
        <f>IF($C371="","",IFERROR($P371*VLOOKUP($C371,'Base Dados NCM'!$A:$D,4,FALSE),"NCM não encontrado"))</f>
        <v/>
      </c>
      <c r="U371"/>
    </row>
    <row r="372" spans="17:21">
      <c r="Q372" t="str">
        <f>IF($C372="","",IFERROR($P372*VLOOKUP($C372,'Base Dados NCM'!$A:$B,2,FALSE),"NCM não encontrado"))</f>
        <v/>
      </c>
      <c r="R372" t="str">
        <f>IF($C372="","",IFERROR($P372*VLOOKUP($C372,'Base Dados NCM'!$A:$C,3,FALSE),"NCM não encontrado"))</f>
        <v/>
      </c>
      <c r="S372"/>
      <c r="T372" t="str">
        <f>IF($C372="","",IFERROR($P372*VLOOKUP($C372,'Base Dados NCM'!$A:$D,4,FALSE),"NCM não encontrado"))</f>
        <v/>
      </c>
      <c r="U372"/>
    </row>
    <row r="373" spans="17:21">
      <c r="Q373" t="str">
        <f>IF($C373="","",IFERROR($P373*VLOOKUP($C373,'Base Dados NCM'!$A:$B,2,FALSE),"NCM não encontrado"))</f>
        <v/>
      </c>
      <c r="R373" t="str">
        <f>IF($C373="","",IFERROR($P373*VLOOKUP($C373,'Base Dados NCM'!$A:$C,3,FALSE),"NCM não encontrado"))</f>
        <v/>
      </c>
      <c r="S373"/>
      <c r="T373" t="str">
        <f>IF($C373="","",IFERROR($P373*VLOOKUP($C373,'Base Dados NCM'!$A:$D,4,FALSE),"NCM não encontrado"))</f>
        <v/>
      </c>
      <c r="U373"/>
    </row>
    <row r="374" spans="17:21">
      <c r="Q374" t="str">
        <f>IF($C374="","",IFERROR($P374*VLOOKUP($C374,'Base Dados NCM'!$A:$B,2,FALSE),"NCM não encontrado"))</f>
        <v/>
      </c>
      <c r="R374" t="str">
        <f>IF($C374="","",IFERROR($P374*VLOOKUP($C374,'Base Dados NCM'!$A:$C,3,FALSE),"NCM não encontrado"))</f>
        <v/>
      </c>
      <c r="S374"/>
      <c r="T374" t="str">
        <f>IF($C374="","",IFERROR($P374*VLOOKUP($C374,'Base Dados NCM'!$A:$D,4,FALSE),"NCM não encontrado"))</f>
        <v/>
      </c>
      <c r="U374"/>
    </row>
    <row r="375" spans="17:21">
      <c r="Q375" t="str">
        <f>IF($C375="","",IFERROR($P375*VLOOKUP($C375,'Base Dados NCM'!$A:$B,2,FALSE),"NCM não encontrado"))</f>
        <v/>
      </c>
      <c r="R375" t="str">
        <f>IF($C375="","",IFERROR($P375*VLOOKUP($C375,'Base Dados NCM'!$A:$C,3,FALSE),"NCM não encontrado"))</f>
        <v/>
      </c>
      <c r="S375"/>
      <c r="T375" t="str">
        <f>IF($C375="","",IFERROR($P375*VLOOKUP($C375,'Base Dados NCM'!$A:$D,4,FALSE),"NCM não encontrado"))</f>
        <v/>
      </c>
      <c r="U375"/>
    </row>
    <row r="376" spans="17:21">
      <c r="Q376" t="str">
        <f>IF($C376="","",IFERROR($P376*VLOOKUP($C376,'Base Dados NCM'!$A:$B,2,FALSE),"NCM não encontrado"))</f>
        <v/>
      </c>
      <c r="R376" t="str">
        <f>IF($C376="","",IFERROR($P376*VLOOKUP($C376,'Base Dados NCM'!$A:$C,3,FALSE),"NCM não encontrado"))</f>
        <v/>
      </c>
      <c r="S376"/>
      <c r="T376" t="str">
        <f>IF($C376="","",IFERROR($P376*VLOOKUP($C376,'Base Dados NCM'!$A:$D,4,FALSE),"NCM não encontrado"))</f>
        <v/>
      </c>
      <c r="U376"/>
    </row>
    <row r="377" spans="17:21">
      <c r="Q377" t="str">
        <f>IF($C377="","",IFERROR($P377*VLOOKUP($C377,'Base Dados NCM'!$A:$B,2,FALSE),"NCM não encontrado"))</f>
        <v/>
      </c>
      <c r="R377" t="str">
        <f>IF($C377="","",IFERROR($P377*VLOOKUP($C377,'Base Dados NCM'!$A:$C,3,FALSE),"NCM não encontrado"))</f>
        <v/>
      </c>
      <c r="S377"/>
      <c r="T377" t="str">
        <f>IF($C377="","",IFERROR($P377*VLOOKUP($C377,'Base Dados NCM'!$A:$D,4,FALSE),"NCM não encontrado"))</f>
        <v/>
      </c>
      <c r="U377"/>
    </row>
    <row r="378" spans="17:21">
      <c r="Q378" t="str">
        <f>IF($C378="","",IFERROR($P378*VLOOKUP($C378,'Base Dados NCM'!$A:$B,2,FALSE),"NCM não encontrado"))</f>
        <v/>
      </c>
      <c r="R378" t="str">
        <f>IF($C378="","",IFERROR($P378*VLOOKUP($C378,'Base Dados NCM'!$A:$C,3,FALSE),"NCM não encontrado"))</f>
        <v/>
      </c>
      <c r="S378"/>
      <c r="T378" t="str">
        <f>IF($C378="","",IFERROR($P378*VLOOKUP($C378,'Base Dados NCM'!$A:$D,4,FALSE),"NCM não encontrado"))</f>
        <v/>
      </c>
      <c r="U378"/>
    </row>
    <row r="379" spans="17:21">
      <c r="Q379" t="str">
        <f>IF($C379="","",IFERROR($P379*VLOOKUP($C379,'Base Dados NCM'!$A:$B,2,FALSE),"NCM não encontrado"))</f>
        <v/>
      </c>
      <c r="R379" t="str">
        <f>IF($C379="","",IFERROR($P379*VLOOKUP($C379,'Base Dados NCM'!$A:$C,3,FALSE),"NCM não encontrado"))</f>
        <v/>
      </c>
      <c r="S379"/>
      <c r="T379" t="str">
        <f>IF($C379="","",IFERROR($P379*VLOOKUP($C379,'Base Dados NCM'!$A:$D,4,FALSE),"NCM não encontrado"))</f>
        <v/>
      </c>
      <c r="U379"/>
    </row>
    <row r="380" spans="17:21">
      <c r="Q380" t="str">
        <f>IF($C380="","",IFERROR($P380*VLOOKUP($C380,'Base Dados NCM'!$A:$B,2,FALSE),"NCM não encontrado"))</f>
        <v/>
      </c>
      <c r="R380" t="str">
        <f>IF($C380="","",IFERROR($P380*VLOOKUP($C380,'Base Dados NCM'!$A:$C,3,FALSE),"NCM não encontrado"))</f>
        <v/>
      </c>
      <c r="S380"/>
      <c r="T380" t="str">
        <f>IF($C380="","",IFERROR($P380*VLOOKUP($C380,'Base Dados NCM'!$A:$D,4,FALSE),"NCM não encontrado"))</f>
        <v/>
      </c>
      <c r="U380"/>
    </row>
    <row r="381" spans="17:21">
      <c r="Q381" t="str">
        <f>IF($C381="","",IFERROR($P381*VLOOKUP($C381,'Base Dados NCM'!$A:$B,2,FALSE),"NCM não encontrado"))</f>
        <v/>
      </c>
      <c r="R381" t="str">
        <f>IF($C381="","",IFERROR($P381*VLOOKUP($C381,'Base Dados NCM'!$A:$C,3,FALSE),"NCM não encontrado"))</f>
        <v/>
      </c>
      <c r="S381"/>
      <c r="T381" t="str">
        <f>IF($C381="","",IFERROR($P381*VLOOKUP($C381,'Base Dados NCM'!$A:$D,4,FALSE),"NCM não encontrado"))</f>
        <v/>
      </c>
      <c r="U381"/>
    </row>
    <row r="382" spans="17:21">
      <c r="Q382" t="str">
        <f>IF($C382="","",IFERROR($P382*VLOOKUP($C382,'Base Dados NCM'!$A:$B,2,FALSE),"NCM não encontrado"))</f>
        <v/>
      </c>
      <c r="R382" t="str">
        <f>IF($C382="","",IFERROR($P382*VLOOKUP($C382,'Base Dados NCM'!$A:$C,3,FALSE),"NCM não encontrado"))</f>
        <v/>
      </c>
      <c r="S382"/>
      <c r="T382" t="str">
        <f>IF($C382="","",IFERROR($P382*VLOOKUP($C382,'Base Dados NCM'!$A:$D,4,FALSE),"NCM não encontrado"))</f>
        <v/>
      </c>
      <c r="U382"/>
    </row>
    <row r="383" spans="17:21">
      <c r="Q383" t="str">
        <f>IF($C383="","",IFERROR($P383*VLOOKUP($C383,'Base Dados NCM'!$A:$B,2,FALSE),"NCM não encontrado"))</f>
        <v/>
      </c>
      <c r="R383" t="str">
        <f>IF($C383="","",IFERROR($P383*VLOOKUP($C383,'Base Dados NCM'!$A:$C,3,FALSE),"NCM não encontrado"))</f>
        <v/>
      </c>
      <c r="S383"/>
      <c r="T383" t="str">
        <f>IF($C383="","",IFERROR($P383*VLOOKUP($C383,'Base Dados NCM'!$A:$D,4,FALSE),"NCM não encontrado"))</f>
        <v/>
      </c>
      <c r="U383"/>
    </row>
    <row r="384" spans="17:21">
      <c r="Q384" t="str">
        <f>IF($C384="","",IFERROR($P384*VLOOKUP($C384,'Base Dados NCM'!$A:$B,2,FALSE),"NCM não encontrado"))</f>
        <v/>
      </c>
      <c r="R384" t="str">
        <f>IF($C384="","",IFERROR($P384*VLOOKUP($C384,'Base Dados NCM'!$A:$C,3,FALSE),"NCM não encontrado"))</f>
        <v/>
      </c>
      <c r="S384"/>
      <c r="T384" t="str">
        <f>IF($C384="","",IFERROR($P384*VLOOKUP($C384,'Base Dados NCM'!$A:$D,4,FALSE),"NCM não encontrado"))</f>
        <v/>
      </c>
      <c r="U384"/>
    </row>
    <row r="385" spans="17:21">
      <c r="Q385" t="str">
        <f>IF($C385="","",IFERROR($P385*VLOOKUP($C385,'Base Dados NCM'!$A:$B,2,FALSE),"NCM não encontrado"))</f>
        <v/>
      </c>
      <c r="R385" t="str">
        <f>IF($C385="","",IFERROR($P385*VLOOKUP($C385,'Base Dados NCM'!$A:$C,3,FALSE),"NCM não encontrado"))</f>
        <v/>
      </c>
      <c r="S385"/>
      <c r="T385" t="str">
        <f>IF($C385="","",IFERROR($P385*VLOOKUP($C385,'Base Dados NCM'!$A:$D,4,FALSE),"NCM não encontrado"))</f>
        <v/>
      </c>
      <c r="U385"/>
    </row>
    <row r="386" spans="17:21">
      <c r="Q386" t="str">
        <f>IF($C386="","",IFERROR($P386*VLOOKUP($C386,'Base Dados NCM'!$A:$B,2,FALSE),"NCM não encontrado"))</f>
        <v/>
      </c>
      <c r="R386" t="str">
        <f>IF($C386="","",IFERROR($P386*VLOOKUP($C386,'Base Dados NCM'!$A:$C,3,FALSE),"NCM não encontrado"))</f>
        <v/>
      </c>
      <c r="S386"/>
      <c r="T386" t="str">
        <f>IF($C386="","",IFERROR($P386*VLOOKUP($C386,'Base Dados NCM'!$A:$D,4,FALSE),"NCM não encontrado"))</f>
        <v/>
      </c>
      <c r="U386"/>
    </row>
    <row r="387" spans="17:21">
      <c r="Q387" t="str">
        <f>IF($C387="","",IFERROR($P387*VLOOKUP($C387,'Base Dados NCM'!$A:$B,2,FALSE),"NCM não encontrado"))</f>
        <v/>
      </c>
      <c r="R387" t="str">
        <f>IF($C387="","",IFERROR($P387*VLOOKUP($C387,'Base Dados NCM'!$A:$C,3,FALSE),"NCM não encontrado"))</f>
        <v/>
      </c>
      <c r="S387"/>
      <c r="T387" t="str">
        <f>IF($C387="","",IFERROR($P387*VLOOKUP($C387,'Base Dados NCM'!$A:$D,4,FALSE),"NCM não encontrado"))</f>
        <v/>
      </c>
      <c r="U387"/>
    </row>
    <row r="388" spans="17:21">
      <c r="Q388" t="str">
        <f>IF($C388="","",IFERROR($P388*VLOOKUP($C388,'Base Dados NCM'!$A:$B,2,FALSE),"NCM não encontrado"))</f>
        <v/>
      </c>
      <c r="R388" t="str">
        <f>IF($C388="","",IFERROR($P388*VLOOKUP($C388,'Base Dados NCM'!$A:$C,3,FALSE),"NCM não encontrado"))</f>
        <v/>
      </c>
      <c r="S388"/>
      <c r="T388" t="str">
        <f>IF($C388="","",IFERROR($P388*VLOOKUP($C388,'Base Dados NCM'!$A:$D,4,FALSE),"NCM não encontrado"))</f>
        <v/>
      </c>
      <c r="U388"/>
    </row>
    <row r="389" spans="17:21">
      <c r="Q389" t="str">
        <f>IF($C389="","",IFERROR($P389*VLOOKUP($C389,'Base Dados NCM'!$A:$B,2,FALSE),"NCM não encontrado"))</f>
        <v/>
      </c>
      <c r="R389" t="str">
        <f>IF($C389="","",IFERROR($P389*VLOOKUP($C389,'Base Dados NCM'!$A:$C,3,FALSE),"NCM não encontrado"))</f>
        <v/>
      </c>
      <c r="S389"/>
      <c r="T389" t="str">
        <f>IF($C389="","",IFERROR($P389*VLOOKUP($C389,'Base Dados NCM'!$A:$D,4,FALSE),"NCM não encontrado"))</f>
        <v/>
      </c>
      <c r="U389"/>
    </row>
    <row r="390" spans="17:21">
      <c r="Q390" t="str">
        <f>IF($C390="","",IFERROR($P390*VLOOKUP($C390,'Base Dados NCM'!$A:$B,2,FALSE),"NCM não encontrado"))</f>
        <v/>
      </c>
      <c r="R390" t="str">
        <f>IF($C390="","",IFERROR($P390*VLOOKUP($C390,'Base Dados NCM'!$A:$C,3,FALSE),"NCM não encontrado"))</f>
        <v/>
      </c>
      <c r="S390"/>
      <c r="T390" t="str">
        <f>IF($C390="","",IFERROR($P390*VLOOKUP($C390,'Base Dados NCM'!$A:$D,4,FALSE),"NCM não encontrado"))</f>
        <v/>
      </c>
      <c r="U390"/>
    </row>
    <row r="391" spans="17:21">
      <c r="Q391" t="str">
        <f>IF($C391="","",IFERROR($P391*VLOOKUP($C391,'Base Dados NCM'!$A:$B,2,FALSE),"NCM não encontrado"))</f>
        <v/>
      </c>
      <c r="R391" t="str">
        <f>IF($C391="","",IFERROR($P391*VLOOKUP($C391,'Base Dados NCM'!$A:$C,3,FALSE),"NCM não encontrado"))</f>
        <v/>
      </c>
      <c r="S391"/>
      <c r="T391" t="str">
        <f>IF($C391="","",IFERROR($P391*VLOOKUP($C391,'Base Dados NCM'!$A:$D,4,FALSE),"NCM não encontrado"))</f>
        <v/>
      </c>
      <c r="U391"/>
    </row>
    <row r="392" spans="17:21">
      <c r="Q392" t="str">
        <f>IF($C392="","",IFERROR($P392*VLOOKUP($C392,'Base Dados NCM'!$A:$B,2,FALSE),"NCM não encontrado"))</f>
        <v/>
      </c>
      <c r="R392" t="str">
        <f>IF($C392="","",IFERROR($P392*VLOOKUP($C392,'Base Dados NCM'!$A:$C,3,FALSE),"NCM não encontrado"))</f>
        <v/>
      </c>
      <c r="S392"/>
      <c r="T392" t="str">
        <f>IF($C392="","",IFERROR($P392*VLOOKUP($C392,'Base Dados NCM'!$A:$D,4,FALSE),"NCM não encontrado"))</f>
        <v/>
      </c>
      <c r="U392"/>
    </row>
    <row r="393" spans="17:21">
      <c r="Q393" t="str">
        <f>IF($C393="","",IFERROR($P393*VLOOKUP($C393,'Base Dados NCM'!$A:$B,2,FALSE),"NCM não encontrado"))</f>
        <v/>
      </c>
      <c r="R393" t="str">
        <f>IF($C393="","",IFERROR($P393*VLOOKUP($C393,'Base Dados NCM'!$A:$C,3,FALSE),"NCM não encontrado"))</f>
        <v/>
      </c>
      <c r="S393"/>
      <c r="T393" t="str">
        <f>IF($C393="","",IFERROR($P393*VLOOKUP($C393,'Base Dados NCM'!$A:$D,4,FALSE),"NCM não encontrado"))</f>
        <v/>
      </c>
      <c r="U393"/>
    </row>
    <row r="394" spans="17:21">
      <c r="Q394" t="str">
        <f>IF($C394="","",IFERROR($P394*VLOOKUP($C394,'Base Dados NCM'!$A:$B,2,FALSE),"NCM não encontrado"))</f>
        <v/>
      </c>
      <c r="R394" t="str">
        <f>IF($C394="","",IFERROR($P394*VLOOKUP($C394,'Base Dados NCM'!$A:$C,3,FALSE),"NCM não encontrado"))</f>
        <v/>
      </c>
      <c r="S394"/>
      <c r="T394" t="str">
        <f>IF($C394="","",IFERROR($P394*VLOOKUP($C394,'Base Dados NCM'!$A:$D,4,FALSE),"NCM não encontrado"))</f>
        <v/>
      </c>
      <c r="U394"/>
    </row>
    <row r="395" spans="17:21">
      <c r="Q395" t="str">
        <f>IF($C395="","",IFERROR($P395*VLOOKUP($C395,'Base Dados NCM'!$A:$B,2,FALSE),"NCM não encontrado"))</f>
        <v/>
      </c>
      <c r="R395" t="str">
        <f>IF($C395="","",IFERROR($P395*VLOOKUP($C395,'Base Dados NCM'!$A:$C,3,FALSE),"NCM não encontrado"))</f>
        <v/>
      </c>
      <c r="S395"/>
      <c r="T395" t="str">
        <f>IF($C395="","",IFERROR($P395*VLOOKUP($C395,'Base Dados NCM'!$A:$D,4,FALSE),"NCM não encontrado"))</f>
        <v/>
      </c>
      <c r="U395"/>
    </row>
    <row r="396" spans="17:21">
      <c r="Q396" t="str">
        <f>IF($C396="","",IFERROR($P396*VLOOKUP($C396,'Base Dados NCM'!$A:$B,2,FALSE),"NCM não encontrado"))</f>
        <v/>
      </c>
      <c r="R396" t="str">
        <f>IF($C396="","",IFERROR($P396*VLOOKUP($C396,'Base Dados NCM'!$A:$C,3,FALSE),"NCM não encontrado"))</f>
        <v/>
      </c>
      <c r="S396"/>
      <c r="T396" t="str">
        <f>IF($C396="","",IFERROR($P396*VLOOKUP($C396,'Base Dados NCM'!$A:$D,4,FALSE),"NCM não encontrado"))</f>
        <v/>
      </c>
      <c r="U396"/>
    </row>
    <row r="397" spans="17:21">
      <c r="Q397" t="str">
        <f>IF($C397="","",IFERROR($P397*VLOOKUP($C397,'Base Dados NCM'!$A:$B,2,FALSE),"NCM não encontrado"))</f>
        <v/>
      </c>
      <c r="R397" t="str">
        <f>IF($C397="","",IFERROR($P397*VLOOKUP($C397,'Base Dados NCM'!$A:$C,3,FALSE),"NCM não encontrado"))</f>
        <v/>
      </c>
      <c r="S397"/>
      <c r="T397" t="str">
        <f>IF($C397="","",IFERROR($P397*VLOOKUP($C397,'Base Dados NCM'!$A:$D,4,FALSE),"NCM não encontrado"))</f>
        <v/>
      </c>
      <c r="U397"/>
    </row>
    <row r="398" spans="17:21">
      <c r="Q398" t="str">
        <f>IF($C398="","",IFERROR($P398*VLOOKUP($C398,'Base Dados NCM'!$A:$B,2,FALSE),"NCM não encontrado"))</f>
        <v/>
      </c>
      <c r="R398" t="str">
        <f>IF($C398="","",IFERROR($P398*VLOOKUP($C398,'Base Dados NCM'!$A:$C,3,FALSE),"NCM não encontrado"))</f>
        <v/>
      </c>
      <c r="S398"/>
      <c r="T398" t="str">
        <f>IF($C398="","",IFERROR($P398*VLOOKUP($C398,'Base Dados NCM'!$A:$D,4,FALSE),"NCM não encontrado"))</f>
        <v/>
      </c>
      <c r="U398"/>
    </row>
    <row r="399" spans="17:21">
      <c r="Q399" t="str">
        <f>IF($C399="","",IFERROR($P399*VLOOKUP($C399,'Base Dados NCM'!$A:$B,2,FALSE),"NCM não encontrado"))</f>
        <v/>
      </c>
      <c r="R399" t="str">
        <f>IF($C399="","",IFERROR($P399*VLOOKUP($C399,'Base Dados NCM'!$A:$C,3,FALSE),"NCM não encontrado"))</f>
        <v/>
      </c>
      <c r="S399"/>
      <c r="T399" t="str">
        <f>IF($C399="","",IFERROR($P399*VLOOKUP($C399,'Base Dados NCM'!$A:$D,4,FALSE),"NCM não encontrado"))</f>
        <v/>
      </c>
      <c r="U399"/>
    </row>
    <row r="400" spans="17:21">
      <c r="Q400" t="str">
        <f>IF($C400="","",IFERROR($P400*VLOOKUP($C400,'Base Dados NCM'!$A:$B,2,FALSE),"NCM não encontrado"))</f>
        <v/>
      </c>
      <c r="R400" t="str">
        <f>IF($C400="","",IFERROR($P400*VLOOKUP($C400,'Base Dados NCM'!$A:$C,3,FALSE),"NCM não encontrado"))</f>
        <v/>
      </c>
      <c r="S400"/>
      <c r="T400" t="str">
        <f>IF($C400="","",IFERROR($P400*VLOOKUP($C400,'Base Dados NCM'!$A:$D,4,FALSE),"NCM não encontrado"))</f>
        <v/>
      </c>
      <c r="U400"/>
    </row>
    <row r="401" spans="17:21">
      <c r="Q401" t="str">
        <f>IF($C401="","",IFERROR($P401*VLOOKUP($C401,'Base Dados NCM'!$A:$B,2,FALSE),"NCM não encontrado"))</f>
        <v/>
      </c>
      <c r="R401" t="str">
        <f>IF($C401="","",IFERROR($P401*VLOOKUP($C401,'Base Dados NCM'!$A:$C,3,FALSE),"NCM não encontrado"))</f>
        <v/>
      </c>
      <c r="S401"/>
      <c r="T401" t="str">
        <f>IF($C401="","",IFERROR($P401*VLOOKUP($C401,'Base Dados NCM'!$A:$D,4,FALSE),"NCM não encontrado"))</f>
        <v/>
      </c>
      <c r="U401"/>
    </row>
    <row r="402" spans="17:21">
      <c r="Q402" t="str">
        <f>IF($C402="","",IFERROR($P402*VLOOKUP($C402,'Base Dados NCM'!$A:$B,2,FALSE),"NCM não encontrado"))</f>
        <v/>
      </c>
      <c r="R402" t="str">
        <f>IF($C402="","",IFERROR($P402*VLOOKUP($C402,'Base Dados NCM'!$A:$C,3,FALSE),"NCM não encontrado"))</f>
        <v/>
      </c>
      <c r="S402"/>
      <c r="T402" t="str">
        <f>IF($C402="","",IFERROR($P402*VLOOKUP($C402,'Base Dados NCM'!$A:$D,4,FALSE),"NCM não encontrado"))</f>
        <v/>
      </c>
      <c r="U402"/>
    </row>
    <row r="403" spans="17:21">
      <c r="Q403" t="str">
        <f>IF($C403="","",IFERROR($P403*VLOOKUP($C403,'Base Dados NCM'!$A:$B,2,FALSE),"NCM não encontrado"))</f>
        <v/>
      </c>
      <c r="R403" t="str">
        <f>IF($C403="","",IFERROR($P403*VLOOKUP($C403,'Base Dados NCM'!$A:$C,3,FALSE),"NCM não encontrado"))</f>
        <v/>
      </c>
      <c r="S403"/>
      <c r="T403" t="str">
        <f>IF($C403="","",IFERROR($P403*VLOOKUP($C403,'Base Dados NCM'!$A:$D,4,FALSE),"NCM não encontrado"))</f>
        <v/>
      </c>
      <c r="U403"/>
    </row>
    <row r="404" spans="17:21">
      <c r="Q404" t="str">
        <f>IF($C404="","",IFERROR($P404*VLOOKUP($C404,'Base Dados NCM'!$A:$B,2,FALSE),"NCM não encontrado"))</f>
        <v/>
      </c>
      <c r="R404" t="str">
        <f>IF($C404="","",IFERROR($P404*VLOOKUP($C404,'Base Dados NCM'!$A:$C,3,FALSE),"NCM não encontrado"))</f>
        <v/>
      </c>
      <c r="S404"/>
      <c r="T404" t="str">
        <f>IF($C404="","",IFERROR($P404*VLOOKUP($C404,'Base Dados NCM'!$A:$D,4,FALSE),"NCM não encontrado"))</f>
        <v/>
      </c>
      <c r="U404"/>
    </row>
    <row r="405" spans="17:21">
      <c r="Q405" t="str">
        <f>IF($C405="","",IFERROR($P405*VLOOKUP($C405,'Base Dados NCM'!$A:$B,2,FALSE),"NCM não encontrado"))</f>
        <v/>
      </c>
      <c r="R405" t="str">
        <f>IF($C405="","",IFERROR($P405*VLOOKUP($C405,'Base Dados NCM'!$A:$C,3,FALSE),"NCM não encontrado"))</f>
        <v/>
      </c>
      <c r="S405"/>
      <c r="T405" t="str">
        <f>IF($C405="","",IFERROR($P405*VLOOKUP($C405,'Base Dados NCM'!$A:$D,4,FALSE),"NCM não encontrado"))</f>
        <v/>
      </c>
      <c r="U405"/>
    </row>
    <row r="406" spans="17:21">
      <c r="Q406" t="str">
        <f>IF($C406="","",IFERROR($P406*VLOOKUP($C406,'Base Dados NCM'!$A:$B,2,FALSE),"NCM não encontrado"))</f>
        <v/>
      </c>
      <c r="R406" t="str">
        <f>IF($C406="","",IFERROR($P406*VLOOKUP($C406,'Base Dados NCM'!$A:$C,3,FALSE),"NCM não encontrado"))</f>
        <v/>
      </c>
      <c r="S406"/>
      <c r="T406" t="str">
        <f>IF($C406="","",IFERROR($P406*VLOOKUP($C406,'Base Dados NCM'!$A:$D,4,FALSE),"NCM não encontrado"))</f>
        <v/>
      </c>
      <c r="U406"/>
    </row>
    <row r="407" spans="17:21">
      <c r="Q407" t="str">
        <f>IF($C407="","",IFERROR($P407*VLOOKUP($C407,'Base Dados NCM'!$A:$B,2,FALSE),"NCM não encontrado"))</f>
        <v/>
      </c>
      <c r="R407" t="str">
        <f>IF($C407="","",IFERROR($P407*VLOOKUP($C407,'Base Dados NCM'!$A:$C,3,FALSE),"NCM não encontrado"))</f>
        <v/>
      </c>
      <c r="S407"/>
      <c r="T407" t="str">
        <f>IF($C407="","",IFERROR($P407*VLOOKUP($C407,'Base Dados NCM'!$A:$D,4,FALSE),"NCM não encontrado"))</f>
        <v/>
      </c>
      <c r="U407"/>
    </row>
    <row r="408" spans="17:21">
      <c r="Q408" t="str">
        <f>IF($C408="","",IFERROR($P408*VLOOKUP($C408,'Base Dados NCM'!$A:$B,2,FALSE),"NCM não encontrado"))</f>
        <v/>
      </c>
      <c r="R408" t="str">
        <f>IF($C408="","",IFERROR($P408*VLOOKUP($C408,'Base Dados NCM'!$A:$C,3,FALSE),"NCM não encontrado"))</f>
        <v/>
      </c>
      <c r="S408"/>
      <c r="T408" t="str">
        <f>IF($C408="","",IFERROR($P408*VLOOKUP($C408,'Base Dados NCM'!$A:$D,4,FALSE),"NCM não encontrado"))</f>
        <v/>
      </c>
      <c r="U408"/>
    </row>
    <row r="409" spans="17:21">
      <c r="Q409" t="str">
        <f>IF($C409="","",IFERROR($P409*VLOOKUP($C409,'Base Dados NCM'!$A:$B,2,FALSE),"NCM não encontrado"))</f>
        <v/>
      </c>
      <c r="R409" t="str">
        <f>IF($C409="","",IFERROR($P409*VLOOKUP($C409,'Base Dados NCM'!$A:$C,3,FALSE),"NCM não encontrado"))</f>
        <v/>
      </c>
      <c r="S409"/>
      <c r="T409" t="str">
        <f>IF($C409="","",IFERROR($P409*VLOOKUP($C409,'Base Dados NCM'!$A:$D,4,FALSE),"NCM não encontrado"))</f>
        <v/>
      </c>
      <c r="U409"/>
    </row>
    <row r="410" spans="17:21">
      <c r="Q410" t="str">
        <f>IF($C410="","",IFERROR($P410*VLOOKUP($C410,'Base Dados NCM'!$A:$B,2,FALSE),"NCM não encontrado"))</f>
        <v/>
      </c>
      <c r="R410" t="str">
        <f>IF($C410="","",IFERROR($P410*VLOOKUP($C410,'Base Dados NCM'!$A:$C,3,FALSE),"NCM não encontrado"))</f>
        <v/>
      </c>
      <c r="S410"/>
      <c r="T410" t="str">
        <f>IF($C410="","",IFERROR($P410*VLOOKUP($C410,'Base Dados NCM'!$A:$D,4,FALSE),"NCM não encontrado"))</f>
        <v/>
      </c>
      <c r="U410"/>
    </row>
    <row r="411" spans="17:21">
      <c r="Q411" t="str">
        <f>IF($C411="","",IFERROR($P411*VLOOKUP($C411,'Base Dados NCM'!$A:$B,2,FALSE),"NCM não encontrado"))</f>
        <v/>
      </c>
      <c r="R411" t="str">
        <f>IF($C411="","",IFERROR($P411*VLOOKUP($C411,'Base Dados NCM'!$A:$C,3,FALSE),"NCM não encontrado"))</f>
        <v/>
      </c>
      <c r="S411"/>
      <c r="T411" t="str">
        <f>IF($C411="","",IFERROR($P411*VLOOKUP($C411,'Base Dados NCM'!$A:$D,4,FALSE),"NCM não encontrado"))</f>
        <v/>
      </c>
      <c r="U411"/>
    </row>
    <row r="412" spans="17:21">
      <c r="Q412" t="str">
        <f>IF($C412="","",IFERROR($P412*VLOOKUP($C412,'Base Dados NCM'!$A:$B,2,FALSE),"NCM não encontrado"))</f>
        <v/>
      </c>
      <c r="R412" t="str">
        <f>IF($C412="","",IFERROR($P412*VLOOKUP($C412,'Base Dados NCM'!$A:$C,3,FALSE),"NCM não encontrado"))</f>
        <v/>
      </c>
      <c r="S412"/>
      <c r="T412" t="str">
        <f>IF($C412="","",IFERROR($P412*VLOOKUP($C412,'Base Dados NCM'!$A:$D,4,FALSE),"NCM não encontrado"))</f>
        <v/>
      </c>
      <c r="U412"/>
    </row>
    <row r="413" spans="17:21">
      <c r="Q413" t="str">
        <f>IF($C413="","",IFERROR($P413*VLOOKUP($C413,'Base Dados NCM'!$A:$B,2,FALSE),"NCM não encontrado"))</f>
        <v/>
      </c>
      <c r="R413" t="str">
        <f>IF($C413="","",IFERROR($P413*VLOOKUP($C413,'Base Dados NCM'!$A:$C,3,FALSE),"NCM não encontrado"))</f>
        <v/>
      </c>
      <c r="S413"/>
      <c r="T413" t="str">
        <f>IF($C413="","",IFERROR($P413*VLOOKUP($C413,'Base Dados NCM'!$A:$D,4,FALSE),"NCM não encontrado"))</f>
        <v/>
      </c>
      <c r="U413"/>
    </row>
    <row r="414" spans="17:21">
      <c r="Q414" t="str">
        <f>IF($C414="","",IFERROR($P414*VLOOKUP($C414,'Base Dados NCM'!$A:$B,2,FALSE),"NCM não encontrado"))</f>
        <v/>
      </c>
      <c r="R414" t="str">
        <f>IF($C414="","",IFERROR($P414*VLOOKUP($C414,'Base Dados NCM'!$A:$C,3,FALSE),"NCM não encontrado"))</f>
        <v/>
      </c>
      <c r="S414"/>
      <c r="T414" t="str">
        <f>IF($C414="","",IFERROR($P414*VLOOKUP($C414,'Base Dados NCM'!$A:$D,4,FALSE),"NCM não encontrado"))</f>
        <v/>
      </c>
      <c r="U414"/>
    </row>
    <row r="415" spans="17:21">
      <c r="Q415" t="str">
        <f>IF($C415="","",IFERROR($P415*VLOOKUP($C415,'Base Dados NCM'!$A:$B,2,FALSE),"NCM não encontrado"))</f>
        <v/>
      </c>
      <c r="R415" t="str">
        <f>IF($C415="","",IFERROR($P415*VLOOKUP($C415,'Base Dados NCM'!$A:$C,3,FALSE),"NCM não encontrado"))</f>
        <v/>
      </c>
      <c r="S415"/>
      <c r="T415" t="str">
        <f>IF($C415="","",IFERROR($P415*VLOOKUP($C415,'Base Dados NCM'!$A:$D,4,FALSE),"NCM não encontrado"))</f>
        <v/>
      </c>
      <c r="U415"/>
    </row>
    <row r="416" spans="17:21">
      <c r="Q416" t="str">
        <f>IF($C416="","",IFERROR($P416*VLOOKUP($C416,'Base Dados NCM'!$A:$B,2,FALSE),"NCM não encontrado"))</f>
        <v/>
      </c>
      <c r="R416" t="str">
        <f>IF($C416="","",IFERROR($P416*VLOOKUP($C416,'Base Dados NCM'!$A:$C,3,FALSE),"NCM não encontrado"))</f>
        <v/>
      </c>
      <c r="S416"/>
      <c r="T416" t="str">
        <f>IF($C416="","",IFERROR($P416*VLOOKUP($C416,'Base Dados NCM'!$A:$D,4,FALSE),"NCM não encontrado"))</f>
        <v/>
      </c>
      <c r="U416"/>
    </row>
    <row r="417" spans="17:21">
      <c r="Q417" t="str">
        <f>IF($C417="","",IFERROR($P417*VLOOKUP($C417,'Base Dados NCM'!$A:$B,2,FALSE),"NCM não encontrado"))</f>
        <v/>
      </c>
      <c r="R417" t="str">
        <f>IF($C417="","",IFERROR($P417*VLOOKUP($C417,'Base Dados NCM'!$A:$C,3,FALSE),"NCM não encontrado"))</f>
        <v/>
      </c>
      <c r="S417"/>
      <c r="T417" t="str">
        <f>IF($C417="","",IFERROR($P417*VLOOKUP($C417,'Base Dados NCM'!$A:$D,4,FALSE),"NCM não encontrado"))</f>
        <v/>
      </c>
      <c r="U417"/>
    </row>
    <row r="418" spans="17:21">
      <c r="Q418" t="str">
        <f>IF($C418="","",IFERROR($P418*VLOOKUP($C418,'Base Dados NCM'!$A:$B,2,FALSE),"NCM não encontrado"))</f>
        <v/>
      </c>
      <c r="R418" t="str">
        <f>IF($C418="","",IFERROR($P418*VLOOKUP($C418,'Base Dados NCM'!$A:$C,3,FALSE),"NCM não encontrado"))</f>
        <v/>
      </c>
      <c r="S418"/>
      <c r="T418" t="str">
        <f>IF($C418="","",IFERROR($P418*VLOOKUP($C418,'Base Dados NCM'!$A:$D,4,FALSE),"NCM não encontrado"))</f>
        <v/>
      </c>
      <c r="U418"/>
    </row>
    <row r="419" spans="17:21">
      <c r="Q419" t="str">
        <f>IF($C419="","",IFERROR($P419*VLOOKUP($C419,'Base Dados NCM'!$A:$B,2,FALSE),"NCM não encontrado"))</f>
        <v/>
      </c>
      <c r="R419" t="str">
        <f>IF($C419="","",IFERROR($P419*VLOOKUP($C419,'Base Dados NCM'!$A:$C,3,FALSE),"NCM não encontrado"))</f>
        <v/>
      </c>
      <c r="S419"/>
      <c r="T419" t="str">
        <f>IF($C419="","",IFERROR($P419*VLOOKUP($C419,'Base Dados NCM'!$A:$D,4,FALSE),"NCM não encontrado"))</f>
        <v/>
      </c>
      <c r="U419"/>
    </row>
    <row r="420" spans="17:21">
      <c r="Q420" t="str">
        <f>IF($C420="","",IFERROR($P420*VLOOKUP($C420,'Base Dados NCM'!$A:$B,2,FALSE),"NCM não encontrado"))</f>
        <v/>
      </c>
      <c r="R420" t="str">
        <f>IF($C420="","",IFERROR($P420*VLOOKUP($C420,'Base Dados NCM'!$A:$C,3,FALSE),"NCM não encontrado"))</f>
        <v/>
      </c>
      <c r="S420"/>
      <c r="T420" t="str">
        <f>IF($C420="","",IFERROR($P420*VLOOKUP($C420,'Base Dados NCM'!$A:$D,4,FALSE),"NCM não encontrado"))</f>
        <v/>
      </c>
      <c r="U420"/>
    </row>
    <row r="421" spans="17:21">
      <c r="Q421" t="str">
        <f>IF($C421="","",IFERROR($P421*VLOOKUP($C421,'Base Dados NCM'!$A:$B,2,FALSE),"NCM não encontrado"))</f>
        <v/>
      </c>
      <c r="R421" t="str">
        <f>IF($C421="","",IFERROR($P421*VLOOKUP($C421,'Base Dados NCM'!$A:$C,3,FALSE),"NCM não encontrado"))</f>
        <v/>
      </c>
      <c r="S421"/>
      <c r="T421" t="str">
        <f>IF($C421="","",IFERROR($P421*VLOOKUP($C421,'Base Dados NCM'!$A:$D,4,FALSE),"NCM não encontrado"))</f>
        <v/>
      </c>
      <c r="U421"/>
    </row>
    <row r="422" spans="17:21">
      <c r="Q422" t="str">
        <f>IF($C422="","",IFERROR($P422*VLOOKUP($C422,'Base Dados NCM'!$A:$B,2,FALSE),"NCM não encontrado"))</f>
        <v/>
      </c>
      <c r="R422" t="str">
        <f>IF($C422="","",IFERROR($P422*VLOOKUP($C422,'Base Dados NCM'!$A:$C,3,FALSE),"NCM não encontrado"))</f>
        <v/>
      </c>
      <c r="S422"/>
      <c r="T422" t="str">
        <f>IF($C422="","",IFERROR($P422*VLOOKUP($C422,'Base Dados NCM'!$A:$D,4,FALSE),"NCM não encontrado"))</f>
        <v/>
      </c>
      <c r="U422"/>
    </row>
    <row r="423" spans="17:21">
      <c r="Q423" t="str">
        <f>IF($C423="","",IFERROR($P423*VLOOKUP($C423,'Base Dados NCM'!$A:$B,2,FALSE),"NCM não encontrado"))</f>
        <v/>
      </c>
      <c r="R423" t="str">
        <f>IF($C423="","",IFERROR($P423*VLOOKUP($C423,'Base Dados NCM'!$A:$C,3,FALSE),"NCM não encontrado"))</f>
        <v/>
      </c>
      <c r="S423"/>
      <c r="T423" t="str">
        <f>IF($C423="","",IFERROR($P423*VLOOKUP($C423,'Base Dados NCM'!$A:$D,4,FALSE),"NCM não encontrado"))</f>
        <v/>
      </c>
      <c r="U423"/>
    </row>
    <row r="424" spans="17:21">
      <c r="Q424" t="str">
        <f>IF($C424="","",IFERROR($P424*VLOOKUP($C424,'Base Dados NCM'!$A:$B,2,FALSE),"NCM não encontrado"))</f>
        <v/>
      </c>
      <c r="R424" t="str">
        <f>IF($C424="","",IFERROR($P424*VLOOKUP($C424,'Base Dados NCM'!$A:$C,3,FALSE),"NCM não encontrado"))</f>
        <v/>
      </c>
      <c r="S424"/>
      <c r="T424" t="str">
        <f>IF($C424="","",IFERROR($P424*VLOOKUP($C424,'Base Dados NCM'!$A:$D,4,FALSE),"NCM não encontrado"))</f>
        <v/>
      </c>
      <c r="U424"/>
    </row>
    <row r="425" spans="17:21">
      <c r="Q425" t="str">
        <f>IF($C425="","",IFERROR($P425*VLOOKUP($C425,'Base Dados NCM'!$A:$B,2,FALSE),"NCM não encontrado"))</f>
        <v/>
      </c>
      <c r="R425" t="str">
        <f>IF($C425="","",IFERROR($P425*VLOOKUP($C425,'Base Dados NCM'!$A:$C,3,FALSE),"NCM não encontrado"))</f>
        <v/>
      </c>
      <c r="S425"/>
      <c r="T425" t="str">
        <f>IF($C425="","",IFERROR($P425*VLOOKUP($C425,'Base Dados NCM'!$A:$D,4,FALSE),"NCM não encontrado"))</f>
        <v/>
      </c>
      <c r="U425"/>
    </row>
    <row r="426" spans="17:21">
      <c r="Q426" t="str">
        <f>IF($C426="","",IFERROR($P426*VLOOKUP($C426,'Base Dados NCM'!$A:$B,2,FALSE),"NCM não encontrado"))</f>
        <v/>
      </c>
      <c r="R426" t="str">
        <f>IF($C426="","",IFERROR($P426*VLOOKUP($C426,'Base Dados NCM'!$A:$C,3,FALSE),"NCM não encontrado"))</f>
        <v/>
      </c>
      <c r="S426"/>
      <c r="T426" t="str">
        <f>IF($C426="","",IFERROR($P426*VLOOKUP($C426,'Base Dados NCM'!$A:$D,4,FALSE),"NCM não encontrado"))</f>
        <v/>
      </c>
      <c r="U426"/>
    </row>
    <row r="427" spans="17:21">
      <c r="Q427" t="str">
        <f>IF($C427="","",IFERROR($P427*VLOOKUP($C427,'Base Dados NCM'!$A:$B,2,FALSE),"NCM não encontrado"))</f>
        <v/>
      </c>
      <c r="R427" t="str">
        <f>IF($C427="","",IFERROR($P427*VLOOKUP($C427,'Base Dados NCM'!$A:$C,3,FALSE),"NCM não encontrado"))</f>
        <v/>
      </c>
      <c r="S427"/>
      <c r="T427" t="str">
        <f>IF($C427="","",IFERROR($P427*VLOOKUP($C427,'Base Dados NCM'!$A:$D,4,FALSE),"NCM não encontrado"))</f>
        <v/>
      </c>
      <c r="U427"/>
    </row>
    <row r="428" spans="17:21">
      <c r="Q428" t="str">
        <f>IF($C428="","",IFERROR($P428*VLOOKUP($C428,'Base Dados NCM'!$A:$B,2,FALSE),"NCM não encontrado"))</f>
        <v/>
      </c>
      <c r="R428" t="str">
        <f>IF($C428="","",IFERROR($P428*VLOOKUP($C428,'Base Dados NCM'!$A:$C,3,FALSE),"NCM não encontrado"))</f>
        <v/>
      </c>
      <c r="S428"/>
      <c r="T428" t="str">
        <f>IF($C428="","",IFERROR($P428*VLOOKUP($C428,'Base Dados NCM'!$A:$D,4,FALSE),"NCM não encontrado"))</f>
        <v/>
      </c>
      <c r="U428"/>
    </row>
    <row r="429" spans="17:21">
      <c r="Q429" t="str">
        <f>IF($C429="","",IFERROR($P429*VLOOKUP($C429,'Base Dados NCM'!$A:$B,2,FALSE),"NCM não encontrado"))</f>
        <v/>
      </c>
      <c r="R429" t="str">
        <f>IF($C429="","",IFERROR($P429*VLOOKUP($C429,'Base Dados NCM'!$A:$C,3,FALSE),"NCM não encontrado"))</f>
        <v/>
      </c>
      <c r="S429"/>
      <c r="T429" t="str">
        <f>IF($C429="","",IFERROR($P429*VLOOKUP($C429,'Base Dados NCM'!$A:$D,4,FALSE),"NCM não encontrado"))</f>
        <v/>
      </c>
      <c r="U429"/>
    </row>
    <row r="430" spans="17:21">
      <c r="Q430" t="str">
        <f>IF($C430="","",IFERROR($P430*VLOOKUP($C430,'Base Dados NCM'!$A:$B,2,FALSE),"NCM não encontrado"))</f>
        <v/>
      </c>
      <c r="R430" t="str">
        <f>IF($C430="","",IFERROR($P430*VLOOKUP($C430,'Base Dados NCM'!$A:$C,3,FALSE),"NCM não encontrado"))</f>
        <v/>
      </c>
      <c r="S430"/>
      <c r="T430" t="str">
        <f>IF($C430="","",IFERROR($P430*VLOOKUP($C430,'Base Dados NCM'!$A:$D,4,FALSE),"NCM não encontrado"))</f>
        <v/>
      </c>
      <c r="U430"/>
    </row>
    <row r="431" spans="17:21">
      <c r="Q431" t="str">
        <f>IF($C431="","",IFERROR($P431*VLOOKUP($C431,'Base Dados NCM'!$A:$B,2,FALSE),"NCM não encontrado"))</f>
        <v/>
      </c>
      <c r="R431" t="str">
        <f>IF($C431="","",IFERROR($P431*VLOOKUP($C431,'Base Dados NCM'!$A:$C,3,FALSE),"NCM não encontrado"))</f>
        <v/>
      </c>
      <c r="S431"/>
      <c r="T431" t="str">
        <f>IF($C431="","",IFERROR($P431*VLOOKUP($C431,'Base Dados NCM'!$A:$D,4,FALSE),"NCM não encontrado"))</f>
        <v/>
      </c>
      <c r="U431"/>
    </row>
    <row r="432" spans="17:21">
      <c r="Q432" t="str">
        <f>IF($C432="","",IFERROR($P432*VLOOKUP($C432,'Base Dados NCM'!$A:$B,2,FALSE),"NCM não encontrado"))</f>
        <v/>
      </c>
      <c r="R432" t="str">
        <f>IF($C432="","",IFERROR($P432*VLOOKUP($C432,'Base Dados NCM'!$A:$C,3,FALSE),"NCM não encontrado"))</f>
        <v/>
      </c>
      <c r="S432"/>
      <c r="T432" t="str">
        <f>IF($C432="","",IFERROR($P432*VLOOKUP($C432,'Base Dados NCM'!$A:$D,4,FALSE),"NCM não encontrado"))</f>
        <v/>
      </c>
      <c r="U432"/>
    </row>
    <row r="433" spans="17:21">
      <c r="Q433" t="str">
        <f>IF($C433="","",IFERROR($P433*VLOOKUP($C433,'Base Dados NCM'!$A:$B,2,FALSE),"NCM não encontrado"))</f>
        <v/>
      </c>
      <c r="R433" t="str">
        <f>IF($C433="","",IFERROR($P433*VLOOKUP($C433,'Base Dados NCM'!$A:$C,3,FALSE),"NCM não encontrado"))</f>
        <v/>
      </c>
      <c r="S433"/>
      <c r="T433" t="str">
        <f>IF($C433="","",IFERROR($P433*VLOOKUP($C433,'Base Dados NCM'!$A:$D,4,FALSE),"NCM não encontrado"))</f>
        <v/>
      </c>
      <c r="U433"/>
    </row>
    <row r="434" spans="17:21">
      <c r="Q434" t="str">
        <f>IF($C434="","",IFERROR($P434*VLOOKUP($C434,'Base Dados NCM'!$A:$B,2,FALSE),"NCM não encontrado"))</f>
        <v/>
      </c>
      <c r="R434" t="str">
        <f>IF($C434="","",IFERROR($P434*VLOOKUP($C434,'Base Dados NCM'!$A:$C,3,FALSE),"NCM não encontrado"))</f>
        <v/>
      </c>
      <c r="S434"/>
      <c r="T434" t="str">
        <f>IF($C434="","",IFERROR($P434*VLOOKUP($C434,'Base Dados NCM'!$A:$D,4,FALSE),"NCM não encontrado"))</f>
        <v/>
      </c>
      <c r="U434"/>
    </row>
    <row r="435" spans="17:21">
      <c r="Q435" t="str">
        <f>IF($C435="","",IFERROR($P435*VLOOKUP($C435,'Base Dados NCM'!$A:$B,2,FALSE),"NCM não encontrado"))</f>
        <v/>
      </c>
      <c r="R435" t="str">
        <f>IF($C435="","",IFERROR($P435*VLOOKUP($C435,'Base Dados NCM'!$A:$C,3,FALSE),"NCM não encontrado"))</f>
        <v/>
      </c>
      <c r="S435"/>
      <c r="T435" t="str">
        <f>IF($C435="","",IFERROR($P435*VLOOKUP($C435,'Base Dados NCM'!$A:$D,4,FALSE),"NCM não encontrado"))</f>
        <v/>
      </c>
      <c r="U435"/>
    </row>
    <row r="436" spans="17:21">
      <c r="Q436" t="str">
        <f>IF($C436="","",IFERROR($P436*VLOOKUP($C436,'Base Dados NCM'!$A:$B,2,FALSE),"NCM não encontrado"))</f>
        <v/>
      </c>
      <c r="R436" t="str">
        <f>IF($C436="","",IFERROR($P436*VLOOKUP($C436,'Base Dados NCM'!$A:$C,3,FALSE),"NCM não encontrado"))</f>
        <v/>
      </c>
      <c r="S436"/>
      <c r="T436" t="str">
        <f>IF($C436="","",IFERROR($P436*VLOOKUP($C436,'Base Dados NCM'!$A:$D,4,FALSE),"NCM não encontrado"))</f>
        <v/>
      </c>
      <c r="U436"/>
    </row>
    <row r="437" spans="17:21">
      <c r="Q437" t="str">
        <f>IF($C437="","",IFERROR($P437*VLOOKUP($C437,'Base Dados NCM'!$A:$B,2,FALSE),"NCM não encontrado"))</f>
        <v/>
      </c>
      <c r="R437" t="str">
        <f>IF($C437="","",IFERROR($P437*VLOOKUP($C437,'Base Dados NCM'!$A:$C,3,FALSE),"NCM não encontrado"))</f>
        <v/>
      </c>
      <c r="S437"/>
      <c r="T437" t="str">
        <f>IF($C437="","",IFERROR($P437*VLOOKUP($C437,'Base Dados NCM'!$A:$D,4,FALSE),"NCM não encontrado"))</f>
        <v/>
      </c>
      <c r="U437"/>
    </row>
    <row r="438" spans="17:21">
      <c r="Q438" t="str">
        <f>IF($C438="","",IFERROR($P438*VLOOKUP($C438,'Base Dados NCM'!$A:$B,2,FALSE),"NCM não encontrado"))</f>
        <v/>
      </c>
      <c r="R438" t="str">
        <f>IF($C438="","",IFERROR($P438*VLOOKUP($C438,'Base Dados NCM'!$A:$C,3,FALSE),"NCM não encontrado"))</f>
        <v/>
      </c>
      <c r="S438"/>
      <c r="T438" t="str">
        <f>IF($C438="","",IFERROR($P438*VLOOKUP($C438,'Base Dados NCM'!$A:$D,4,FALSE),"NCM não encontrado"))</f>
        <v/>
      </c>
      <c r="U438"/>
    </row>
    <row r="439" spans="17:21">
      <c r="Q439" t="str">
        <f>IF($C439="","",IFERROR($P439*VLOOKUP($C439,'Base Dados NCM'!$A:$B,2,FALSE),"NCM não encontrado"))</f>
        <v/>
      </c>
      <c r="R439" t="str">
        <f>IF($C439="","",IFERROR($P439*VLOOKUP($C439,'Base Dados NCM'!$A:$C,3,FALSE),"NCM não encontrado"))</f>
        <v/>
      </c>
      <c r="S439"/>
      <c r="T439" t="str">
        <f>IF($C439="","",IFERROR($P439*VLOOKUP($C439,'Base Dados NCM'!$A:$D,4,FALSE),"NCM não encontrado"))</f>
        <v/>
      </c>
      <c r="U439"/>
    </row>
    <row r="440" spans="17:21">
      <c r="Q440" t="str">
        <f>IF($C440="","",IFERROR($P440*VLOOKUP($C440,'Base Dados NCM'!$A:$B,2,FALSE),"NCM não encontrado"))</f>
        <v/>
      </c>
      <c r="R440" t="str">
        <f>IF($C440="","",IFERROR($P440*VLOOKUP($C440,'Base Dados NCM'!$A:$C,3,FALSE),"NCM não encontrado"))</f>
        <v/>
      </c>
      <c r="S440"/>
      <c r="T440" t="str">
        <f>IF($C440="","",IFERROR($P440*VLOOKUP($C440,'Base Dados NCM'!$A:$D,4,FALSE),"NCM não encontrado"))</f>
        <v/>
      </c>
      <c r="U440"/>
    </row>
    <row r="441" spans="17:21">
      <c r="Q441" t="str">
        <f>IF($C441="","",IFERROR($P441*VLOOKUP($C441,'Base Dados NCM'!$A:$B,2,FALSE),"NCM não encontrado"))</f>
        <v/>
      </c>
      <c r="R441" t="str">
        <f>IF($C441="","",IFERROR($P441*VLOOKUP($C441,'Base Dados NCM'!$A:$C,3,FALSE),"NCM não encontrado"))</f>
        <v/>
      </c>
      <c r="S441"/>
      <c r="T441" t="str">
        <f>IF($C441="","",IFERROR($P441*VLOOKUP($C441,'Base Dados NCM'!$A:$D,4,FALSE),"NCM não encontrado"))</f>
        <v/>
      </c>
      <c r="U441"/>
    </row>
    <row r="442" spans="17:21">
      <c r="Q442" t="str">
        <f>IF($C442="","",IFERROR($P442*VLOOKUP($C442,'Base Dados NCM'!$A:$B,2,FALSE),"NCM não encontrado"))</f>
        <v/>
      </c>
      <c r="R442" t="str">
        <f>IF($C442="","",IFERROR($P442*VLOOKUP($C442,'Base Dados NCM'!$A:$C,3,FALSE),"NCM não encontrado"))</f>
        <v/>
      </c>
      <c r="S442"/>
      <c r="T442" t="str">
        <f>IF($C442="","",IFERROR($P442*VLOOKUP($C442,'Base Dados NCM'!$A:$D,4,FALSE),"NCM não encontrado"))</f>
        <v/>
      </c>
      <c r="U442"/>
    </row>
    <row r="443" spans="17:21">
      <c r="Q443" t="str">
        <f>IF($C443="","",IFERROR($P443*VLOOKUP($C443,'Base Dados NCM'!$A:$B,2,FALSE),"NCM não encontrado"))</f>
        <v/>
      </c>
      <c r="R443" t="str">
        <f>IF($C443="","",IFERROR($P443*VLOOKUP($C443,'Base Dados NCM'!$A:$C,3,FALSE),"NCM não encontrado"))</f>
        <v/>
      </c>
      <c r="S443"/>
      <c r="T443" t="str">
        <f>IF($C443="","",IFERROR($P443*VLOOKUP($C443,'Base Dados NCM'!$A:$D,4,FALSE),"NCM não encontrado"))</f>
        <v/>
      </c>
      <c r="U443"/>
    </row>
    <row r="444" spans="17:21">
      <c r="Q444" t="str">
        <f>IF($C444="","",IFERROR($P444*VLOOKUP($C444,'Base Dados NCM'!$A:$B,2,FALSE),"NCM não encontrado"))</f>
        <v/>
      </c>
      <c r="R444" t="str">
        <f>IF($C444="","",IFERROR($P444*VLOOKUP($C444,'Base Dados NCM'!$A:$C,3,FALSE),"NCM não encontrado"))</f>
        <v/>
      </c>
      <c r="S444"/>
      <c r="T444" t="str">
        <f>IF($C444="","",IFERROR($P444*VLOOKUP($C444,'Base Dados NCM'!$A:$D,4,FALSE),"NCM não encontrado"))</f>
        <v/>
      </c>
      <c r="U444"/>
    </row>
    <row r="445" spans="17:21">
      <c r="Q445" t="str">
        <f>IF($C445="","",IFERROR($P445*VLOOKUP($C445,'Base Dados NCM'!$A:$B,2,FALSE),"NCM não encontrado"))</f>
        <v/>
      </c>
      <c r="R445" t="str">
        <f>IF($C445="","",IFERROR($P445*VLOOKUP($C445,'Base Dados NCM'!$A:$C,3,FALSE),"NCM não encontrado"))</f>
        <v/>
      </c>
      <c r="S445"/>
      <c r="T445" t="str">
        <f>IF($C445="","",IFERROR($P445*VLOOKUP($C445,'Base Dados NCM'!$A:$D,4,FALSE),"NCM não encontrado"))</f>
        <v/>
      </c>
      <c r="U445"/>
    </row>
    <row r="446" spans="17:21">
      <c r="Q446" t="str">
        <f>IF($C446="","",IFERROR($P446*VLOOKUP($C446,'Base Dados NCM'!$A:$B,2,FALSE),"NCM não encontrado"))</f>
        <v/>
      </c>
      <c r="R446" t="str">
        <f>IF($C446="","",IFERROR($P446*VLOOKUP($C446,'Base Dados NCM'!$A:$C,3,FALSE),"NCM não encontrado"))</f>
        <v/>
      </c>
      <c r="S446"/>
      <c r="T446" t="str">
        <f>IF($C446="","",IFERROR($P446*VLOOKUP($C446,'Base Dados NCM'!$A:$D,4,FALSE),"NCM não encontrado"))</f>
        <v/>
      </c>
      <c r="U446"/>
    </row>
    <row r="447" spans="17:21">
      <c r="Q447" t="str">
        <f>IF($C447="","",IFERROR($P447*VLOOKUP($C447,'Base Dados NCM'!$A:$B,2,FALSE),"NCM não encontrado"))</f>
        <v/>
      </c>
      <c r="R447" t="str">
        <f>IF($C447="","",IFERROR($P447*VLOOKUP($C447,'Base Dados NCM'!$A:$C,3,FALSE),"NCM não encontrado"))</f>
        <v/>
      </c>
      <c r="S447"/>
      <c r="T447" t="str">
        <f>IF($C447="","",IFERROR($P447*VLOOKUP($C447,'Base Dados NCM'!$A:$D,4,FALSE),"NCM não encontrado"))</f>
        <v/>
      </c>
      <c r="U447"/>
    </row>
    <row r="448" spans="17:21">
      <c r="Q448" t="str">
        <f>IF($C448="","",IFERROR($P448*VLOOKUP($C448,'Base Dados NCM'!$A:$B,2,FALSE),"NCM não encontrado"))</f>
        <v/>
      </c>
      <c r="R448" t="str">
        <f>IF($C448="","",IFERROR($P448*VLOOKUP($C448,'Base Dados NCM'!$A:$C,3,FALSE),"NCM não encontrado"))</f>
        <v/>
      </c>
      <c r="S448"/>
      <c r="T448" t="str">
        <f>IF($C448="","",IFERROR($P448*VLOOKUP($C448,'Base Dados NCM'!$A:$D,4,FALSE),"NCM não encontrado"))</f>
        <v/>
      </c>
      <c r="U448"/>
    </row>
    <row r="449" spans="17:21">
      <c r="Q449" t="str">
        <f>IF($C449="","",IFERROR($P449*VLOOKUP($C449,'Base Dados NCM'!$A:$B,2,FALSE),"NCM não encontrado"))</f>
        <v/>
      </c>
      <c r="R449" t="str">
        <f>IF($C449="","",IFERROR($P449*VLOOKUP($C449,'Base Dados NCM'!$A:$C,3,FALSE),"NCM não encontrado"))</f>
        <v/>
      </c>
      <c r="S449"/>
      <c r="T449" t="str">
        <f>IF($C449="","",IFERROR($P449*VLOOKUP($C449,'Base Dados NCM'!$A:$D,4,FALSE),"NCM não encontrado"))</f>
        <v/>
      </c>
      <c r="U449"/>
    </row>
    <row r="450" spans="17:21">
      <c r="Q450" t="str">
        <f>IF($C450="","",IFERROR($P450*VLOOKUP($C450,'Base Dados NCM'!$A:$B,2,FALSE),"NCM não encontrado"))</f>
        <v/>
      </c>
      <c r="R450" t="str">
        <f>IF($C450="","",IFERROR($P450*VLOOKUP($C450,'Base Dados NCM'!$A:$C,3,FALSE),"NCM não encontrado"))</f>
        <v/>
      </c>
      <c r="S450"/>
      <c r="T450" t="str">
        <f>IF($C450="","",IFERROR($P450*VLOOKUP($C450,'Base Dados NCM'!$A:$D,4,FALSE),"NCM não encontrado"))</f>
        <v/>
      </c>
      <c r="U450"/>
    </row>
    <row r="451" spans="17:21">
      <c r="Q451" t="str">
        <f>IF($C451="","",IFERROR($P451*VLOOKUP($C451,'Base Dados NCM'!$A:$B,2,FALSE),"NCM não encontrado"))</f>
        <v/>
      </c>
      <c r="R451" t="str">
        <f>IF($C451="","",IFERROR($P451*VLOOKUP($C451,'Base Dados NCM'!$A:$C,3,FALSE),"NCM não encontrado"))</f>
        <v/>
      </c>
      <c r="S451"/>
      <c r="T451" t="str">
        <f>IF($C451="","",IFERROR($P451*VLOOKUP($C451,'Base Dados NCM'!$A:$D,4,FALSE),"NCM não encontrado"))</f>
        <v/>
      </c>
      <c r="U451"/>
    </row>
    <row r="452" spans="17:21">
      <c r="Q452" t="str">
        <f>IF($C452="","",IFERROR($P452*VLOOKUP($C452,'Base Dados NCM'!$A:$B,2,FALSE),"NCM não encontrado"))</f>
        <v/>
      </c>
      <c r="R452" t="str">
        <f>IF($C452="","",IFERROR($P452*VLOOKUP($C452,'Base Dados NCM'!$A:$C,3,FALSE),"NCM não encontrado"))</f>
        <v/>
      </c>
      <c r="S452"/>
      <c r="T452" t="str">
        <f>IF($C452="","",IFERROR($P452*VLOOKUP($C452,'Base Dados NCM'!$A:$D,4,FALSE),"NCM não encontrado"))</f>
        <v/>
      </c>
      <c r="U452"/>
    </row>
    <row r="453" spans="17:21">
      <c r="Q453" t="str">
        <f>IF($C453="","",IFERROR($P453*VLOOKUP($C453,'Base Dados NCM'!$A:$B,2,FALSE),"NCM não encontrado"))</f>
        <v/>
      </c>
      <c r="R453" t="str">
        <f>IF($C453="","",IFERROR($P453*VLOOKUP($C453,'Base Dados NCM'!$A:$C,3,FALSE),"NCM não encontrado"))</f>
        <v/>
      </c>
      <c r="S453"/>
      <c r="T453" t="str">
        <f>IF($C453="","",IFERROR($P453*VLOOKUP($C453,'Base Dados NCM'!$A:$D,4,FALSE),"NCM não encontrado"))</f>
        <v/>
      </c>
      <c r="U453"/>
    </row>
    <row r="454" spans="17:21">
      <c r="Q454" t="str">
        <f>IF($C454="","",IFERROR($P454*VLOOKUP($C454,'Base Dados NCM'!$A:$B,2,FALSE),"NCM não encontrado"))</f>
        <v/>
      </c>
      <c r="R454" t="str">
        <f>IF($C454="","",IFERROR($P454*VLOOKUP($C454,'Base Dados NCM'!$A:$C,3,FALSE),"NCM não encontrado"))</f>
        <v/>
      </c>
      <c r="S454"/>
      <c r="T454" t="str">
        <f>IF($C454="","",IFERROR($P454*VLOOKUP($C454,'Base Dados NCM'!$A:$D,4,FALSE),"NCM não encontrado"))</f>
        <v/>
      </c>
      <c r="U454"/>
    </row>
    <row r="455" spans="17:21">
      <c r="Q455" t="str">
        <f>IF($C455="","",IFERROR($P455*VLOOKUP($C455,'Base Dados NCM'!$A:$B,2,FALSE),"NCM não encontrado"))</f>
        <v/>
      </c>
      <c r="R455" t="str">
        <f>IF($C455="","",IFERROR($P455*VLOOKUP($C455,'Base Dados NCM'!$A:$C,3,FALSE),"NCM não encontrado"))</f>
        <v/>
      </c>
      <c r="S455"/>
      <c r="T455" t="str">
        <f>IF($C455="","",IFERROR($P455*VLOOKUP($C455,'Base Dados NCM'!$A:$D,4,FALSE),"NCM não encontrado"))</f>
        <v/>
      </c>
      <c r="U455"/>
    </row>
    <row r="456" spans="17:21">
      <c r="Q456" t="str">
        <f>IF($C456="","",IFERROR($P456*VLOOKUP($C456,'Base Dados NCM'!$A:$B,2,FALSE),"NCM não encontrado"))</f>
        <v/>
      </c>
      <c r="R456" t="str">
        <f>IF($C456="","",IFERROR($P456*VLOOKUP($C456,'Base Dados NCM'!$A:$C,3,FALSE),"NCM não encontrado"))</f>
        <v/>
      </c>
      <c r="S456"/>
      <c r="T456" t="str">
        <f>IF($C456="","",IFERROR($P456*VLOOKUP($C456,'Base Dados NCM'!$A:$D,4,FALSE),"NCM não encontrado"))</f>
        <v/>
      </c>
      <c r="U456"/>
    </row>
    <row r="457" spans="17:21">
      <c r="Q457" t="str">
        <f>IF($C457="","",IFERROR($P457*VLOOKUP($C457,'Base Dados NCM'!$A:$B,2,FALSE),"NCM não encontrado"))</f>
        <v/>
      </c>
      <c r="R457" t="str">
        <f>IF($C457="","",IFERROR($P457*VLOOKUP($C457,'Base Dados NCM'!$A:$C,3,FALSE),"NCM não encontrado"))</f>
        <v/>
      </c>
      <c r="S457"/>
      <c r="T457" t="str">
        <f>IF($C457="","",IFERROR($P457*VLOOKUP($C457,'Base Dados NCM'!$A:$D,4,FALSE),"NCM não encontrado"))</f>
        <v/>
      </c>
      <c r="U457"/>
    </row>
    <row r="458" spans="17:21">
      <c r="Q458" t="str">
        <f>IF($C458="","",IFERROR($P458*VLOOKUP($C458,'Base Dados NCM'!$A:$B,2,FALSE),"NCM não encontrado"))</f>
        <v/>
      </c>
      <c r="R458" t="str">
        <f>IF($C458="","",IFERROR($P458*VLOOKUP($C458,'Base Dados NCM'!$A:$C,3,FALSE),"NCM não encontrado"))</f>
        <v/>
      </c>
      <c r="S458"/>
      <c r="T458" t="str">
        <f>IF($C458="","",IFERROR($P458*VLOOKUP($C458,'Base Dados NCM'!$A:$D,4,FALSE),"NCM não encontrado"))</f>
        <v/>
      </c>
      <c r="U458"/>
    </row>
    <row r="459" spans="17:21">
      <c r="Q459" t="str">
        <f>IF($C459="","",IFERROR($P459*VLOOKUP($C459,'Base Dados NCM'!$A:$B,2,FALSE),"NCM não encontrado"))</f>
        <v/>
      </c>
      <c r="R459" t="str">
        <f>IF($C459="","",IFERROR($P459*VLOOKUP($C459,'Base Dados NCM'!$A:$C,3,FALSE),"NCM não encontrado"))</f>
        <v/>
      </c>
      <c r="S459"/>
      <c r="T459" t="str">
        <f>IF($C459="","",IFERROR($P459*VLOOKUP($C459,'Base Dados NCM'!$A:$D,4,FALSE),"NCM não encontrado"))</f>
        <v/>
      </c>
      <c r="U459"/>
    </row>
    <row r="460" spans="17:21">
      <c r="Q460" t="str">
        <f>IF($C460="","",IFERROR($P460*VLOOKUP($C460,'Base Dados NCM'!$A:$B,2,FALSE),"NCM não encontrado"))</f>
        <v/>
      </c>
      <c r="R460" t="str">
        <f>IF($C460="","",IFERROR($P460*VLOOKUP($C460,'Base Dados NCM'!$A:$C,3,FALSE),"NCM não encontrado"))</f>
        <v/>
      </c>
      <c r="S460"/>
      <c r="T460" t="str">
        <f>IF($C460="","",IFERROR($P460*VLOOKUP($C460,'Base Dados NCM'!$A:$D,4,FALSE),"NCM não encontrado"))</f>
        <v/>
      </c>
      <c r="U460"/>
    </row>
    <row r="461" spans="17:21">
      <c r="Q461" t="str">
        <f>IF($C461="","",IFERROR($P461*VLOOKUP($C461,'Base Dados NCM'!$A:$B,2,FALSE),"NCM não encontrado"))</f>
        <v/>
      </c>
      <c r="R461" t="str">
        <f>IF($C461="","",IFERROR($P461*VLOOKUP($C461,'Base Dados NCM'!$A:$C,3,FALSE),"NCM não encontrado"))</f>
        <v/>
      </c>
      <c r="S461"/>
      <c r="T461" t="str">
        <f>IF($C461="","",IFERROR($P461*VLOOKUP($C461,'Base Dados NCM'!$A:$D,4,FALSE),"NCM não encontrado"))</f>
        <v/>
      </c>
      <c r="U461"/>
    </row>
    <row r="462" spans="17:21">
      <c r="Q462" t="str">
        <f>IF($C462="","",IFERROR($P462*VLOOKUP($C462,'Base Dados NCM'!$A:$B,2,FALSE),"NCM não encontrado"))</f>
        <v/>
      </c>
      <c r="R462" t="str">
        <f>IF($C462="","",IFERROR($P462*VLOOKUP($C462,'Base Dados NCM'!$A:$C,3,FALSE),"NCM não encontrado"))</f>
        <v/>
      </c>
      <c r="S462"/>
      <c r="T462" t="str">
        <f>IF($C462="","",IFERROR($P462*VLOOKUP($C462,'Base Dados NCM'!$A:$D,4,FALSE),"NCM não encontrado"))</f>
        <v/>
      </c>
      <c r="U462"/>
    </row>
    <row r="463" spans="17:21">
      <c r="Q463" t="str">
        <f>IF($C463="","",IFERROR($P463*VLOOKUP($C463,'Base Dados NCM'!$A:$B,2,FALSE),"NCM não encontrado"))</f>
        <v/>
      </c>
      <c r="R463" t="str">
        <f>IF($C463="","",IFERROR($P463*VLOOKUP($C463,'Base Dados NCM'!$A:$C,3,FALSE),"NCM não encontrado"))</f>
        <v/>
      </c>
      <c r="S463"/>
      <c r="T463" t="str">
        <f>IF($C463="","",IFERROR($P463*VLOOKUP($C463,'Base Dados NCM'!$A:$D,4,FALSE),"NCM não encontrado"))</f>
        <v/>
      </c>
      <c r="U463"/>
    </row>
    <row r="464" spans="17:21">
      <c r="Q464" t="str">
        <f>IF($C464="","",IFERROR($P464*VLOOKUP($C464,'Base Dados NCM'!$A:$B,2,FALSE),"NCM não encontrado"))</f>
        <v/>
      </c>
      <c r="R464" t="str">
        <f>IF($C464="","",IFERROR($P464*VLOOKUP($C464,'Base Dados NCM'!$A:$C,3,FALSE),"NCM não encontrado"))</f>
        <v/>
      </c>
      <c r="S464"/>
      <c r="T464" t="str">
        <f>IF($C464="","",IFERROR($P464*VLOOKUP($C464,'Base Dados NCM'!$A:$D,4,FALSE),"NCM não encontrado"))</f>
        <v/>
      </c>
      <c r="U464"/>
    </row>
    <row r="465" spans="17:21">
      <c r="Q465" t="str">
        <f>IF($C465="","",IFERROR($P465*VLOOKUP($C465,'Base Dados NCM'!$A:$B,2,FALSE),"NCM não encontrado"))</f>
        <v/>
      </c>
      <c r="R465" t="str">
        <f>IF($C465="","",IFERROR($P465*VLOOKUP($C465,'Base Dados NCM'!$A:$C,3,FALSE),"NCM não encontrado"))</f>
        <v/>
      </c>
      <c r="S465"/>
      <c r="T465" t="str">
        <f>IF($C465="","",IFERROR($P465*VLOOKUP($C465,'Base Dados NCM'!$A:$D,4,FALSE),"NCM não encontrado"))</f>
        <v/>
      </c>
      <c r="U465"/>
    </row>
    <row r="466" spans="17:21">
      <c r="Q466" t="str">
        <f>IF($C466="","",IFERROR($P466*VLOOKUP($C466,'Base Dados NCM'!$A:$B,2,FALSE),"NCM não encontrado"))</f>
        <v/>
      </c>
      <c r="R466" t="str">
        <f>IF($C466="","",IFERROR($P466*VLOOKUP($C466,'Base Dados NCM'!$A:$C,3,FALSE),"NCM não encontrado"))</f>
        <v/>
      </c>
      <c r="S466"/>
      <c r="T466" t="str">
        <f>IF($C466="","",IFERROR($P466*VLOOKUP($C466,'Base Dados NCM'!$A:$D,4,FALSE),"NCM não encontrado"))</f>
        <v/>
      </c>
      <c r="U466"/>
    </row>
    <row r="467" spans="17:21">
      <c r="Q467" t="str">
        <f>IF($C467="","",IFERROR($P467*VLOOKUP($C467,'Base Dados NCM'!$A:$B,2,FALSE),"NCM não encontrado"))</f>
        <v/>
      </c>
      <c r="R467" t="str">
        <f>IF($C467="","",IFERROR($P467*VLOOKUP($C467,'Base Dados NCM'!$A:$C,3,FALSE),"NCM não encontrado"))</f>
        <v/>
      </c>
      <c r="S467"/>
      <c r="T467" t="str">
        <f>IF($C467="","",IFERROR($P467*VLOOKUP($C467,'Base Dados NCM'!$A:$D,4,FALSE),"NCM não encontrado"))</f>
        <v/>
      </c>
      <c r="U467"/>
    </row>
    <row r="468" spans="17:21">
      <c r="Q468" t="str">
        <f>IF($C468="","",IFERROR($P468*VLOOKUP($C468,'Base Dados NCM'!$A:$B,2,FALSE),"NCM não encontrado"))</f>
        <v/>
      </c>
      <c r="R468" t="str">
        <f>IF($C468="","",IFERROR($P468*VLOOKUP($C468,'Base Dados NCM'!$A:$C,3,FALSE),"NCM não encontrado"))</f>
        <v/>
      </c>
      <c r="S468"/>
      <c r="T468" t="str">
        <f>IF($C468="","",IFERROR($P468*VLOOKUP($C468,'Base Dados NCM'!$A:$D,4,FALSE),"NCM não encontrado"))</f>
        <v/>
      </c>
      <c r="U468"/>
    </row>
    <row r="469" spans="17:21">
      <c r="Q469" t="str">
        <f>IF($C469="","",IFERROR($P469*VLOOKUP($C469,'Base Dados NCM'!$A:$B,2,FALSE),"NCM não encontrado"))</f>
        <v/>
      </c>
      <c r="R469" t="str">
        <f>IF($C469="","",IFERROR($P469*VLOOKUP($C469,'Base Dados NCM'!$A:$C,3,FALSE),"NCM não encontrado"))</f>
        <v/>
      </c>
      <c r="S469"/>
      <c r="T469" t="str">
        <f>IF($C469="","",IFERROR($P469*VLOOKUP($C469,'Base Dados NCM'!$A:$D,4,FALSE),"NCM não encontrado"))</f>
        <v/>
      </c>
      <c r="U469"/>
    </row>
    <row r="470" spans="17:21">
      <c r="Q470" t="str">
        <f>IF($C470="","",IFERROR($P470*VLOOKUP($C470,'Base Dados NCM'!$A:$B,2,FALSE),"NCM não encontrado"))</f>
        <v/>
      </c>
      <c r="R470" t="str">
        <f>IF($C470="","",IFERROR($P470*VLOOKUP($C470,'Base Dados NCM'!$A:$C,3,FALSE),"NCM não encontrado"))</f>
        <v/>
      </c>
      <c r="S470"/>
      <c r="T470" t="str">
        <f>IF($C470="","",IFERROR($P470*VLOOKUP($C470,'Base Dados NCM'!$A:$D,4,FALSE),"NCM não encontrado"))</f>
        <v/>
      </c>
      <c r="U470"/>
    </row>
    <row r="471" spans="17:21">
      <c r="Q471" t="str">
        <f>IF($C471="","",IFERROR($P471*VLOOKUP($C471,'Base Dados NCM'!$A:$B,2,FALSE),"NCM não encontrado"))</f>
        <v/>
      </c>
      <c r="R471" t="str">
        <f>IF($C471="","",IFERROR($P471*VLOOKUP($C471,'Base Dados NCM'!$A:$C,3,FALSE),"NCM não encontrado"))</f>
        <v/>
      </c>
      <c r="S471"/>
      <c r="T471" t="str">
        <f>IF($C471="","",IFERROR($P471*VLOOKUP($C471,'Base Dados NCM'!$A:$D,4,FALSE),"NCM não encontrado"))</f>
        <v/>
      </c>
      <c r="U471"/>
    </row>
    <row r="472" spans="17:21">
      <c r="Q472" t="str">
        <f>IF($C472="","",IFERROR($P472*VLOOKUP($C472,'Base Dados NCM'!$A:$B,2,FALSE),"NCM não encontrado"))</f>
        <v/>
      </c>
      <c r="R472" t="str">
        <f>IF($C472="","",IFERROR($P472*VLOOKUP($C472,'Base Dados NCM'!$A:$C,3,FALSE),"NCM não encontrado"))</f>
        <v/>
      </c>
      <c r="S472"/>
      <c r="T472" t="str">
        <f>IF($C472="","",IFERROR($P472*VLOOKUP($C472,'Base Dados NCM'!$A:$D,4,FALSE),"NCM não encontrado"))</f>
        <v/>
      </c>
      <c r="U472"/>
    </row>
    <row r="473" spans="17:21">
      <c r="Q473" t="str">
        <f>IF($C473="","",IFERROR($P473*VLOOKUP($C473,'Base Dados NCM'!$A:$B,2,FALSE),"NCM não encontrado"))</f>
        <v/>
      </c>
      <c r="R473" t="str">
        <f>IF($C473="","",IFERROR($P473*VLOOKUP($C473,'Base Dados NCM'!$A:$C,3,FALSE),"NCM não encontrado"))</f>
        <v/>
      </c>
      <c r="S473"/>
      <c r="T473" t="str">
        <f>IF($C473="","",IFERROR($P473*VLOOKUP($C473,'Base Dados NCM'!$A:$D,4,FALSE),"NCM não encontrado"))</f>
        <v/>
      </c>
      <c r="U473"/>
    </row>
    <row r="474" spans="17:21">
      <c r="Q474" t="str">
        <f>IF($C474="","",IFERROR($P474*VLOOKUP($C474,'Base Dados NCM'!$A:$B,2,FALSE),"NCM não encontrado"))</f>
        <v/>
      </c>
      <c r="R474" t="str">
        <f>IF($C474="","",IFERROR($P474*VLOOKUP($C474,'Base Dados NCM'!$A:$C,3,FALSE),"NCM não encontrado"))</f>
        <v/>
      </c>
      <c r="S474"/>
      <c r="T474" t="str">
        <f>IF($C474="","",IFERROR($P474*VLOOKUP($C474,'Base Dados NCM'!$A:$D,4,FALSE),"NCM não encontrado"))</f>
        <v/>
      </c>
      <c r="U474"/>
    </row>
    <row r="475" spans="17:21">
      <c r="Q475" t="str">
        <f>IF($C475="","",IFERROR($P475*VLOOKUP($C475,'Base Dados NCM'!$A:$B,2,FALSE),"NCM não encontrado"))</f>
        <v/>
      </c>
      <c r="R475" t="str">
        <f>IF($C475="","",IFERROR($P475*VLOOKUP($C475,'Base Dados NCM'!$A:$C,3,FALSE),"NCM não encontrado"))</f>
        <v/>
      </c>
      <c r="S475"/>
      <c r="T475" t="str">
        <f>IF($C475="","",IFERROR($P475*VLOOKUP($C475,'Base Dados NCM'!$A:$D,4,FALSE),"NCM não encontrado"))</f>
        <v/>
      </c>
      <c r="U475"/>
    </row>
    <row r="476" spans="17:21">
      <c r="Q476" t="str">
        <f>IF($C476="","",IFERROR($P476*VLOOKUP($C476,'Base Dados NCM'!$A:$B,2,FALSE),"NCM não encontrado"))</f>
        <v/>
      </c>
      <c r="R476" t="str">
        <f>IF($C476="","",IFERROR($P476*VLOOKUP($C476,'Base Dados NCM'!$A:$C,3,FALSE),"NCM não encontrado"))</f>
        <v/>
      </c>
      <c r="S476"/>
      <c r="T476" t="str">
        <f>IF($C476="","",IFERROR($P476*VLOOKUP($C476,'Base Dados NCM'!$A:$D,4,FALSE),"NCM não encontrado"))</f>
        <v/>
      </c>
      <c r="U476"/>
    </row>
    <row r="477" spans="17:21">
      <c r="Q477" t="str">
        <f>IF($C477="","",IFERROR($P477*VLOOKUP($C477,'Base Dados NCM'!$A:$B,2,FALSE),"NCM não encontrado"))</f>
        <v/>
      </c>
      <c r="R477" t="str">
        <f>IF($C477="","",IFERROR($P477*VLOOKUP($C477,'Base Dados NCM'!$A:$C,3,FALSE),"NCM não encontrado"))</f>
        <v/>
      </c>
      <c r="S477"/>
      <c r="T477" t="str">
        <f>IF($C477="","",IFERROR($P477*VLOOKUP($C477,'Base Dados NCM'!$A:$D,4,FALSE),"NCM não encontrado"))</f>
        <v/>
      </c>
      <c r="U477"/>
    </row>
    <row r="478" spans="17:21">
      <c r="Q478" t="str">
        <f>IF($C478="","",IFERROR($P478*VLOOKUP($C478,'Base Dados NCM'!$A:$B,2,FALSE),"NCM não encontrado"))</f>
        <v/>
      </c>
      <c r="R478" t="str">
        <f>IF($C478="","",IFERROR($P478*VLOOKUP($C478,'Base Dados NCM'!$A:$C,3,FALSE),"NCM não encontrado"))</f>
        <v/>
      </c>
      <c r="S478"/>
      <c r="T478" t="str">
        <f>IF($C478="","",IFERROR($P478*VLOOKUP($C478,'Base Dados NCM'!$A:$D,4,FALSE),"NCM não encontrado"))</f>
        <v/>
      </c>
      <c r="U478"/>
    </row>
    <row r="479" spans="17:21">
      <c r="Q479" t="str">
        <f>IF($C479="","",IFERROR($P479*VLOOKUP($C479,'Base Dados NCM'!$A:$B,2,FALSE),"NCM não encontrado"))</f>
        <v/>
      </c>
      <c r="R479" t="str">
        <f>IF($C479="","",IFERROR($P479*VLOOKUP($C479,'Base Dados NCM'!$A:$C,3,FALSE),"NCM não encontrado"))</f>
        <v/>
      </c>
      <c r="S479"/>
      <c r="T479" t="str">
        <f>IF($C479="","",IFERROR($P479*VLOOKUP($C479,'Base Dados NCM'!$A:$D,4,FALSE),"NCM não encontrado"))</f>
        <v/>
      </c>
      <c r="U479"/>
    </row>
    <row r="480" spans="17:21">
      <c r="Q480" t="str">
        <f>IF($C480="","",IFERROR($P480*VLOOKUP($C480,'Base Dados NCM'!$A:$B,2,FALSE),"NCM não encontrado"))</f>
        <v/>
      </c>
      <c r="R480" t="str">
        <f>IF($C480="","",IFERROR($P480*VLOOKUP($C480,'Base Dados NCM'!$A:$C,3,FALSE),"NCM não encontrado"))</f>
        <v/>
      </c>
      <c r="S480"/>
      <c r="T480" t="str">
        <f>IF($C480="","",IFERROR($P480*VLOOKUP($C480,'Base Dados NCM'!$A:$D,4,FALSE),"NCM não encontrado"))</f>
        <v/>
      </c>
      <c r="U480"/>
    </row>
    <row r="481" spans="17:21">
      <c r="Q481" t="str">
        <f>IF($C481="","",IFERROR($P481*VLOOKUP($C481,'Base Dados NCM'!$A:$B,2,FALSE),"NCM não encontrado"))</f>
        <v/>
      </c>
      <c r="R481" t="str">
        <f>IF($C481="","",IFERROR($P481*VLOOKUP($C481,'Base Dados NCM'!$A:$C,3,FALSE),"NCM não encontrado"))</f>
        <v/>
      </c>
      <c r="S481"/>
      <c r="T481" t="str">
        <f>IF($C481="","",IFERROR($P481*VLOOKUP($C481,'Base Dados NCM'!$A:$D,4,FALSE),"NCM não encontrado"))</f>
        <v/>
      </c>
      <c r="U481"/>
    </row>
    <row r="482" spans="17:21">
      <c r="Q482" t="str">
        <f>IF($C482="","",IFERROR($P482*VLOOKUP($C482,'Base Dados NCM'!$A:$B,2,FALSE),"NCM não encontrado"))</f>
        <v/>
      </c>
      <c r="R482" t="str">
        <f>IF($C482="","",IFERROR($P482*VLOOKUP($C482,'Base Dados NCM'!$A:$C,3,FALSE),"NCM não encontrado"))</f>
        <v/>
      </c>
      <c r="S482"/>
      <c r="T482" t="str">
        <f>IF($C482="","",IFERROR($P482*VLOOKUP($C482,'Base Dados NCM'!$A:$D,4,FALSE),"NCM não encontrado"))</f>
        <v/>
      </c>
      <c r="U482"/>
    </row>
    <row r="483" spans="17:21">
      <c r="Q483" t="str">
        <f>IF($C483="","",IFERROR($P483*VLOOKUP($C483,'Base Dados NCM'!$A:$B,2,FALSE),"NCM não encontrado"))</f>
        <v/>
      </c>
      <c r="R483" t="str">
        <f>IF($C483="","",IFERROR($P483*VLOOKUP($C483,'Base Dados NCM'!$A:$C,3,FALSE),"NCM não encontrado"))</f>
        <v/>
      </c>
      <c r="S483"/>
      <c r="T483" t="str">
        <f>IF($C483="","",IFERROR($P483*VLOOKUP($C483,'Base Dados NCM'!$A:$D,4,FALSE),"NCM não encontrado"))</f>
        <v/>
      </c>
      <c r="U483"/>
    </row>
    <row r="484" spans="17:21">
      <c r="Q484" t="str">
        <f>IF($C484="","",IFERROR($P484*VLOOKUP($C484,'Base Dados NCM'!$A:$B,2,FALSE),"NCM não encontrado"))</f>
        <v/>
      </c>
      <c r="R484" t="str">
        <f>IF($C484="","",IFERROR($P484*VLOOKUP($C484,'Base Dados NCM'!$A:$C,3,FALSE),"NCM não encontrado"))</f>
        <v/>
      </c>
      <c r="S484"/>
      <c r="T484" t="str">
        <f>IF($C484="","",IFERROR($P484*VLOOKUP($C484,'Base Dados NCM'!$A:$D,4,FALSE),"NCM não encontrado"))</f>
        <v/>
      </c>
      <c r="U484"/>
    </row>
    <row r="485" spans="17:21">
      <c r="Q485" t="str">
        <f>IF($C485="","",IFERROR($P485*VLOOKUP($C485,'Base Dados NCM'!$A:$B,2,FALSE),"NCM não encontrado"))</f>
        <v/>
      </c>
      <c r="R485" t="str">
        <f>IF($C485="","",IFERROR($P485*VLOOKUP($C485,'Base Dados NCM'!$A:$C,3,FALSE),"NCM não encontrado"))</f>
        <v/>
      </c>
      <c r="S485"/>
      <c r="T485" t="str">
        <f>IF($C485="","",IFERROR($P485*VLOOKUP($C485,'Base Dados NCM'!$A:$D,4,FALSE),"NCM não encontrado"))</f>
        <v/>
      </c>
      <c r="U485"/>
    </row>
    <row r="486" spans="17:21">
      <c r="Q486" t="str">
        <f>IF($C486="","",IFERROR($P486*VLOOKUP($C486,'Base Dados NCM'!$A:$B,2,FALSE),"NCM não encontrado"))</f>
        <v/>
      </c>
      <c r="R486" t="str">
        <f>IF($C486="","",IFERROR($P486*VLOOKUP($C486,'Base Dados NCM'!$A:$C,3,FALSE),"NCM não encontrado"))</f>
        <v/>
      </c>
      <c r="S486"/>
      <c r="T486" t="str">
        <f>IF($C486="","",IFERROR($P486*VLOOKUP($C486,'Base Dados NCM'!$A:$D,4,FALSE),"NCM não encontrado"))</f>
        <v/>
      </c>
      <c r="U486"/>
    </row>
    <row r="487" spans="17:21">
      <c r="Q487" t="str">
        <f>IF($C487="","",IFERROR($P487*VLOOKUP($C487,'Base Dados NCM'!$A:$B,2,FALSE),"NCM não encontrado"))</f>
        <v/>
      </c>
      <c r="R487" t="str">
        <f>IF($C487="","",IFERROR($P487*VLOOKUP($C487,'Base Dados NCM'!$A:$C,3,FALSE),"NCM não encontrado"))</f>
        <v/>
      </c>
      <c r="S487"/>
      <c r="T487" t="str">
        <f>IF($C487="","",IFERROR($P487*VLOOKUP($C487,'Base Dados NCM'!$A:$D,4,FALSE),"NCM não encontrado"))</f>
        <v/>
      </c>
      <c r="U487"/>
    </row>
    <row r="488" spans="17:21">
      <c r="Q488" t="str">
        <f>IF($C488="","",IFERROR($P488*VLOOKUP($C488,'Base Dados NCM'!$A:$B,2,FALSE),"NCM não encontrado"))</f>
        <v/>
      </c>
      <c r="R488" t="str">
        <f>IF($C488="","",IFERROR($P488*VLOOKUP($C488,'Base Dados NCM'!$A:$C,3,FALSE),"NCM não encontrado"))</f>
        <v/>
      </c>
      <c r="S488"/>
      <c r="T488" t="str">
        <f>IF($C488="","",IFERROR($P488*VLOOKUP($C488,'Base Dados NCM'!$A:$D,4,FALSE),"NCM não encontrado"))</f>
        <v/>
      </c>
      <c r="U488"/>
    </row>
    <row r="489" spans="17:21">
      <c r="Q489" t="str">
        <f>IF($C489="","",IFERROR($P489*VLOOKUP($C489,'Base Dados NCM'!$A:$B,2,FALSE),"NCM não encontrado"))</f>
        <v/>
      </c>
      <c r="R489" t="str">
        <f>IF($C489="","",IFERROR($P489*VLOOKUP($C489,'Base Dados NCM'!$A:$C,3,FALSE),"NCM não encontrado"))</f>
        <v/>
      </c>
      <c r="S489"/>
      <c r="T489" t="str">
        <f>IF($C489="","",IFERROR($P489*VLOOKUP($C489,'Base Dados NCM'!$A:$D,4,FALSE),"NCM não encontrado"))</f>
        <v/>
      </c>
      <c r="U489"/>
    </row>
    <row r="490" spans="17:21">
      <c r="Q490" t="str">
        <f>IF($C490="","",IFERROR($P490*VLOOKUP($C490,'Base Dados NCM'!$A:$B,2,FALSE),"NCM não encontrado"))</f>
        <v/>
      </c>
      <c r="R490" t="str">
        <f>IF($C490="","",IFERROR($P490*VLOOKUP($C490,'Base Dados NCM'!$A:$C,3,FALSE),"NCM não encontrado"))</f>
        <v/>
      </c>
      <c r="S490"/>
      <c r="T490" t="str">
        <f>IF($C490="","",IFERROR($P490*VLOOKUP($C490,'Base Dados NCM'!$A:$D,4,FALSE),"NCM não encontrado"))</f>
        <v/>
      </c>
      <c r="U490"/>
    </row>
    <row r="491" spans="17:21">
      <c r="Q491" t="str">
        <f>IF($C491="","",IFERROR($P491*VLOOKUP($C491,'Base Dados NCM'!$A:$B,2,FALSE),"NCM não encontrado"))</f>
        <v/>
      </c>
      <c r="R491" t="str">
        <f>IF($C491="","",IFERROR($P491*VLOOKUP($C491,'Base Dados NCM'!$A:$C,3,FALSE),"NCM não encontrado"))</f>
        <v/>
      </c>
      <c r="S491"/>
      <c r="T491" t="str">
        <f>IF($C491="","",IFERROR($P491*VLOOKUP($C491,'Base Dados NCM'!$A:$D,4,FALSE),"NCM não encontrado"))</f>
        <v/>
      </c>
      <c r="U491"/>
    </row>
    <row r="492" spans="17:21">
      <c r="Q492" t="str">
        <f>IF($C492="","",IFERROR($P492*VLOOKUP($C492,'Base Dados NCM'!$A:$B,2,FALSE),"NCM não encontrado"))</f>
        <v/>
      </c>
      <c r="R492" t="str">
        <f>IF($C492="","",IFERROR($P492*VLOOKUP($C492,'Base Dados NCM'!$A:$C,3,FALSE),"NCM não encontrado"))</f>
        <v/>
      </c>
      <c r="S492"/>
      <c r="T492" t="str">
        <f>IF($C492="","",IFERROR($P492*VLOOKUP($C492,'Base Dados NCM'!$A:$D,4,FALSE),"NCM não encontrado"))</f>
        <v/>
      </c>
      <c r="U492"/>
    </row>
    <row r="493" spans="17:21">
      <c r="Q493" t="str">
        <f>IF($C493="","",IFERROR($P493*VLOOKUP($C493,'Base Dados NCM'!$A:$B,2,FALSE),"NCM não encontrado"))</f>
        <v/>
      </c>
      <c r="R493" t="str">
        <f>IF($C493="","",IFERROR($P493*VLOOKUP($C493,'Base Dados NCM'!$A:$C,3,FALSE),"NCM não encontrado"))</f>
        <v/>
      </c>
      <c r="S493"/>
      <c r="T493" t="str">
        <f>IF($C493="","",IFERROR($P493*VLOOKUP($C493,'Base Dados NCM'!$A:$D,4,FALSE),"NCM não encontrado"))</f>
        <v/>
      </c>
      <c r="U493"/>
    </row>
    <row r="494" spans="17:21">
      <c r="Q494" t="str">
        <f>IF($C494="","",IFERROR($P494*VLOOKUP($C494,'Base Dados NCM'!$A:$B,2,FALSE),"NCM não encontrado"))</f>
        <v/>
      </c>
      <c r="R494" t="str">
        <f>IF($C494="","",IFERROR($P494*VLOOKUP($C494,'Base Dados NCM'!$A:$C,3,FALSE),"NCM não encontrado"))</f>
        <v/>
      </c>
      <c r="S494"/>
      <c r="T494" t="str">
        <f>IF($C494="","",IFERROR($P494*VLOOKUP($C494,'Base Dados NCM'!$A:$D,4,FALSE),"NCM não encontrado"))</f>
        <v/>
      </c>
      <c r="U494"/>
    </row>
    <row r="495" spans="17:21">
      <c r="Q495" t="str">
        <f>IF($C495="","",IFERROR($P495*VLOOKUP($C495,'Base Dados NCM'!$A:$B,2,FALSE),"NCM não encontrado"))</f>
        <v/>
      </c>
      <c r="R495" t="str">
        <f>IF($C495="","",IFERROR($P495*VLOOKUP($C495,'Base Dados NCM'!$A:$C,3,FALSE),"NCM não encontrado"))</f>
        <v/>
      </c>
      <c r="S495"/>
      <c r="T495" t="str">
        <f>IF($C495="","",IFERROR($P495*VLOOKUP($C495,'Base Dados NCM'!$A:$D,4,FALSE),"NCM não encontrado"))</f>
        <v/>
      </c>
      <c r="U495"/>
    </row>
    <row r="496" spans="17:21">
      <c r="Q496" t="str">
        <f>IF($C496="","",IFERROR($P496*VLOOKUP($C496,'Base Dados NCM'!$A:$B,2,FALSE),"NCM não encontrado"))</f>
        <v/>
      </c>
      <c r="R496" t="str">
        <f>IF($C496="","",IFERROR($P496*VLOOKUP($C496,'Base Dados NCM'!$A:$C,3,FALSE),"NCM não encontrado"))</f>
        <v/>
      </c>
      <c r="S496"/>
      <c r="T496" t="str">
        <f>IF($C496="","",IFERROR($P496*VLOOKUP($C496,'Base Dados NCM'!$A:$D,4,FALSE),"NCM não encontrado"))</f>
        <v/>
      </c>
      <c r="U496"/>
    </row>
    <row r="497" spans="17:21">
      <c r="Q497" t="str">
        <f>IF($C497="","",IFERROR($P497*VLOOKUP($C497,'Base Dados NCM'!$A:$B,2,FALSE),"NCM não encontrado"))</f>
        <v/>
      </c>
      <c r="R497" t="str">
        <f>IF($C497="","",IFERROR($P497*VLOOKUP($C497,'Base Dados NCM'!$A:$C,3,FALSE),"NCM não encontrado"))</f>
        <v/>
      </c>
      <c r="S497"/>
      <c r="T497" t="str">
        <f>IF($C497="","",IFERROR($P497*VLOOKUP($C497,'Base Dados NCM'!$A:$D,4,FALSE),"NCM não encontrado"))</f>
        <v/>
      </c>
      <c r="U497"/>
    </row>
    <row r="498" spans="17:21">
      <c r="Q498" t="str">
        <f>IF($C498="","",IFERROR($P498*VLOOKUP($C498,'Base Dados NCM'!$A:$B,2,FALSE),"NCM não encontrado"))</f>
        <v/>
      </c>
      <c r="R498" t="str">
        <f>IF($C498="","",IFERROR($P498*VLOOKUP($C498,'Base Dados NCM'!$A:$C,3,FALSE),"NCM não encontrado"))</f>
        <v/>
      </c>
      <c r="S498"/>
      <c r="T498" t="str">
        <f>IF($C498="","",IFERROR($P498*VLOOKUP($C498,'Base Dados NCM'!$A:$D,4,FALSE),"NCM não encontrado"))</f>
        <v/>
      </c>
      <c r="U498"/>
    </row>
    <row r="499" spans="17:21">
      <c r="Q499" t="str">
        <f>IF($C499="","",IFERROR($P499*VLOOKUP($C499,'Base Dados NCM'!$A:$B,2,FALSE),"NCM não encontrado"))</f>
        <v/>
      </c>
      <c r="R499" t="str">
        <f>IF($C499="","",IFERROR($P499*VLOOKUP($C499,'Base Dados NCM'!$A:$C,3,FALSE),"NCM não encontrado"))</f>
        <v/>
      </c>
      <c r="S499"/>
      <c r="T499" t="str">
        <f>IF($C499="","",IFERROR($P499*VLOOKUP($C499,'Base Dados NCM'!$A:$D,4,FALSE),"NCM não encontrado"))</f>
        <v/>
      </c>
      <c r="U499"/>
    </row>
    <row r="500" spans="17:21">
      <c r="Q500" t="str">
        <f>IF($C500="","",IFERROR($P500*VLOOKUP($C500,'Base Dados NCM'!$A:$B,2,FALSE),"NCM não encontrado"))</f>
        <v/>
      </c>
      <c r="R500" t="str">
        <f>IF($C500="","",IFERROR($P500*VLOOKUP($C500,'Base Dados NCM'!$A:$C,3,FALSE),"NCM não encontrado"))</f>
        <v/>
      </c>
      <c r="S500"/>
      <c r="T500" t="str">
        <f>IF($C500="","",IFERROR($P500*VLOOKUP($C500,'Base Dados NCM'!$A:$D,4,FALSE),"NCM não encontrado"))</f>
        <v/>
      </c>
      <c r="U500"/>
    </row>
    <row r="501" spans="17:21">
      <c r="Q501" t="str">
        <f>IF($C501="","",IFERROR($P501*VLOOKUP($C501,'Base Dados NCM'!$A:$B,2,FALSE),"NCM não encontrado"))</f>
        <v/>
      </c>
      <c r="R501" t="str">
        <f>IF($C501="","",IFERROR($P501*VLOOKUP($C501,'Base Dados NCM'!$A:$C,3,FALSE),"NCM não encontrado"))</f>
        <v/>
      </c>
      <c r="S501"/>
      <c r="T501" t="str">
        <f>IF($C501="","",IFERROR($P501*VLOOKUP($C501,'Base Dados NCM'!$A:$D,4,FALSE),"NCM não encontrado"))</f>
        <v/>
      </c>
      <c r="U501"/>
    </row>
    <row r="502" spans="17:21">
      <c r="Q502" t="str">
        <f>IF($C502="","",IFERROR($P502*VLOOKUP($C502,'Base Dados NCM'!$A:$B,2,FALSE),"NCM não encontrado"))</f>
        <v/>
      </c>
      <c r="R502" t="str">
        <f>IF($C502="","",IFERROR($P502*VLOOKUP($C502,'Base Dados NCM'!$A:$C,3,FALSE),"NCM não encontrado"))</f>
        <v/>
      </c>
      <c r="S502"/>
      <c r="T502" t="str">
        <f>IF($C502="","",IFERROR($P502*VLOOKUP($C502,'Base Dados NCM'!$A:$D,4,FALSE),"NCM não encontrado"))</f>
        <v/>
      </c>
      <c r="U502"/>
    </row>
    <row r="503" spans="17:21">
      <c r="Q503" t="str">
        <f>IF($C503="","",IFERROR($P503*VLOOKUP($C503,'Base Dados NCM'!$A:$B,2,FALSE),"NCM não encontrado"))</f>
        <v/>
      </c>
      <c r="R503" t="str">
        <f>IF($C503="","",IFERROR($P503*VLOOKUP($C503,'Base Dados NCM'!$A:$C,3,FALSE),"NCM não encontrado"))</f>
        <v/>
      </c>
      <c r="S503"/>
      <c r="T503" t="str">
        <f>IF($C503="","",IFERROR($P503*VLOOKUP($C503,'Base Dados NCM'!$A:$D,4,FALSE),"NCM não encontrado"))</f>
        <v/>
      </c>
      <c r="U503"/>
    </row>
    <row r="504" spans="17:21">
      <c r="Q504" t="str">
        <f>IF($C504="","",IFERROR($P504*VLOOKUP($C504,'Base Dados NCM'!$A:$B,2,FALSE),"NCM não encontrado"))</f>
        <v/>
      </c>
      <c r="R504" t="str">
        <f>IF($C504="","",IFERROR($P504*VLOOKUP($C504,'Base Dados NCM'!$A:$C,3,FALSE),"NCM não encontrado"))</f>
        <v/>
      </c>
      <c r="S504"/>
      <c r="T504" t="str">
        <f>IF($C504="","",IFERROR($P504*VLOOKUP($C504,'Base Dados NCM'!$A:$D,4,FALSE),"NCM não encontrado"))</f>
        <v/>
      </c>
      <c r="U504"/>
    </row>
  </sheetData>
  <mergeCells count="4">
    <mergeCell ref="A1:Q1"/>
    <mergeCell ref="R1:U1"/>
    <mergeCell ref="A32:Q32"/>
    <mergeCell ref="R32:S3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8"/>
  <sheetViews>
    <sheetView zoomScaleNormal="100" workbookViewId="0">
      <pane ySplit="1" topLeftCell="A43" activePane="bottomLeft" state="frozen"/>
      <selection pane="bottomLeft" activeCell="D62" sqref="D62"/>
    </sheetView>
  </sheetViews>
  <sheetFormatPr defaultRowHeight="14.4"/>
  <cols>
    <col min="1" max="1" width="13.88671875" style="6" customWidth="1"/>
    <col min="2" max="2" width="19.21875" style="6" customWidth="1"/>
    <col min="3" max="3" width="17.109375" style="6" customWidth="1"/>
    <col min="4" max="5" width="15.44140625" customWidth="1"/>
    <col min="6" max="7" width="19.33203125" customWidth="1"/>
    <col min="8" max="9" width="10.6640625" style="55" customWidth="1"/>
  </cols>
  <sheetData>
    <row r="1" spans="1:9" ht="43.8" customHeight="1">
      <c r="A1" s="21" t="s">
        <v>1</v>
      </c>
      <c r="B1" s="24" t="s">
        <v>16</v>
      </c>
      <c r="C1" s="21" t="s">
        <v>17</v>
      </c>
      <c r="D1" s="24" t="s">
        <v>18</v>
      </c>
      <c r="E1" s="24" t="s">
        <v>24</v>
      </c>
      <c r="F1" s="24" t="s">
        <v>20</v>
      </c>
      <c r="G1" s="24" t="s">
        <v>21</v>
      </c>
      <c r="H1" s="56" t="s">
        <v>37</v>
      </c>
      <c r="I1" s="56" t="s">
        <v>38</v>
      </c>
    </row>
    <row r="2" spans="1:9">
      <c r="A2" s="22">
        <v>39269090</v>
      </c>
      <c r="B2" s="22">
        <v>1.2972999999999999</v>
      </c>
      <c r="C2" s="22" t="s">
        <v>19</v>
      </c>
      <c r="D2" s="22">
        <v>1.54</v>
      </c>
      <c r="E2" s="22">
        <v>1.91</v>
      </c>
      <c r="F2" s="22">
        <v>1.73</v>
      </c>
      <c r="G2" s="22">
        <v>1.78</v>
      </c>
      <c r="H2" s="54"/>
      <c r="I2" s="57"/>
    </row>
    <row r="3" spans="1:9">
      <c r="A3" s="22">
        <v>85177900</v>
      </c>
      <c r="B3" s="22">
        <v>1.3055000000000001</v>
      </c>
      <c r="C3" s="22" t="s">
        <v>19</v>
      </c>
      <c r="D3" s="22">
        <v>1.54</v>
      </c>
      <c r="E3" s="22">
        <v>1.91</v>
      </c>
      <c r="F3" s="22">
        <v>1.73</v>
      </c>
      <c r="G3" s="22">
        <v>1.78</v>
      </c>
      <c r="H3" s="54"/>
      <c r="I3" s="57"/>
    </row>
    <row r="4" spans="1:9">
      <c r="A4" s="22">
        <v>73089010</v>
      </c>
      <c r="B4" s="22">
        <v>1.3383</v>
      </c>
      <c r="C4" s="22" t="s">
        <v>19</v>
      </c>
      <c r="D4" s="22">
        <v>1.54</v>
      </c>
      <c r="E4" s="22">
        <v>1.91</v>
      </c>
      <c r="F4" s="22">
        <v>1.73</v>
      </c>
      <c r="G4" s="22">
        <v>1.78</v>
      </c>
      <c r="H4" s="54"/>
      <c r="I4" s="57"/>
    </row>
    <row r="5" spans="1:9">
      <c r="A5" s="22">
        <v>73181600</v>
      </c>
      <c r="B5" s="22">
        <v>1.3096000000000001</v>
      </c>
      <c r="C5" s="22" t="s">
        <v>19</v>
      </c>
      <c r="D5" s="22">
        <v>1.54</v>
      </c>
      <c r="E5" s="22">
        <v>1.91</v>
      </c>
      <c r="F5" s="22">
        <v>1.73</v>
      </c>
      <c r="G5" s="22">
        <v>1.78</v>
      </c>
      <c r="H5" s="54"/>
      <c r="I5" s="57"/>
    </row>
    <row r="6" spans="1:9">
      <c r="A6" s="22">
        <v>73182200</v>
      </c>
      <c r="B6" s="22">
        <v>1.3096000000000001</v>
      </c>
      <c r="C6" s="22" t="s">
        <v>19</v>
      </c>
      <c r="D6" s="22">
        <v>1.54</v>
      </c>
      <c r="E6" s="22">
        <v>1.91</v>
      </c>
      <c r="F6" s="22">
        <v>1.73</v>
      </c>
      <c r="G6" s="22">
        <v>1.78</v>
      </c>
      <c r="H6" s="54"/>
      <c r="I6" s="57"/>
    </row>
    <row r="7" spans="1:9">
      <c r="A7" s="22">
        <v>73269090</v>
      </c>
      <c r="B7" s="23">
        <v>1.369</v>
      </c>
      <c r="C7" s="22" t="s">
        <v>19</v>
      </c>
      <c r="D7" s="22">
        <v>1.54</v>
      </c>
      <c r="E7" s="22">
        <v>1.91</v>
      </c>
      <c r="F7" s="22">
        <v>1.73</v>
      </c>
      <c r="G7" s="22">
        <v>1.78</v>
      </c>
      <c r="H7" s="54"/>
      <c r="I7" s="57"/>
    </row>
    <row r="8" spans="1:9">
      <c r="A8" s="22">
        <v>85354090</v>
      </c>
      <c r="B8" s="22">
        <v>1.2992999999999999</v>
      </c>
      <c r="C8" s="22" t="s">
        <v>19</v>
      </c>
      <c r="D8" s="22">
        <v>1.54</v>
      </c>
      <c r="E8" s="22">
        <v>1.91</v>
      </c>
      <c r="F8" s="22">
        <v>1.73</v>
      </c>
      <c r="G8" s="22">
        <v>1.78</v>
      </c>
      <c r="H8" s="54"/>
      <c r="I8" s="57"/>
    </row>
    <row r="9" spans="1:9">
      <c r="A9" s="22">
        <v>73251000</v>
      </c>
      <c r="B9" s="22">
        <v>1.45</v>
      </c>
      <c r="C9" s="22" t="s">
        <v>19</v>
      </c>
      <c r="D9" s="22">
        <v>1.54</v>
      </c>
      <c r="E9" s="22">
        <v>1.91</v>
      </c>
      <c r="F9" s="22">
        <v>1.73</v>
      </c>
      <c r="G9" s="22">
        <v>1.78</v>
      </c>
      <c r="H9" s="54"/>
      <c r="I9" s="57"/>
    </row>
    <row r="10" spans="1:9">
      <c r="A10" s="22">
        <v>94051190</v>
      </c>
      <c r="B10" s="22">
        <v>1.3116000000000001</v>
      </c>
      <c r="C10" s="22" t="s">
        <v>19</v>
      </c>
      <c r="D10" s="22">
        <v>1.54</v>
      </c>
      <c r="E10" s="22">
        <v>1.91</v>
      </c>
      <c r="F10" s="22">
        <v>1.73</v>
      </c>
      <c r="G10" s="22">
        <v>1.78</v>
      </c>
      <c r="H10" s="54"/>
      <c r="I10" s="57"/>
    </row>
    <row r="11" spans="1:9">
      <c r="A11" s="22">
        <v>94054200</v>
      </c>
      <c r="B11" s="22">
        <v>1.3116000000000001</v>
      </c>
      <c r="C11" s="22" t="s">
        <v>19</v>
      </c>
      <c r="D11" s="22">
        <v>1.54</v>
      </c>
      <c r="E11" s="22">
        <v>1.91</v>
      </c>
      <c r="F11" s="22">
        <v>1.73</v>
      </c>
      <c r="G11" s="22">
        <v>1.78</v>
      </c>
      <c r="H11" s="54"/>
      <c r="I11" s="57"/>
    </row>
    <row r="12" spans="1:9">
      <c r="A12" s="22">
        <v>85395200</v>
      </c>
      <c r="B12" s="22">
        <v>1</v>
      </c>
      <c r="C12" s="22" t="s">
        <v>25</v>
      </c>
      <c r="D12" s="22">
        <v>2.2599999999999998</v>
      </c>
      <c r="E12" s="22">
        <v>1.91</v>
      </c>
      <c r="F12" s="22">
        <v>1.74</v>
      </c>
      <c r="G12" s="22">
        <v>1.78</v>
      </c>
      <c r="H12" s="54"/>
      <c r="I12" s="57"/>
    </row>
    <row r="13" spans="1:9">
      <c r="A13" s="22">
        <v>85044010</v>
      </c>
      <c r="B13" s="22">
        <v>1</v>
      </c>
      <c r="C13" s="22" t="s">
        <v>25</v>
      </c>
      <c r="D13" s="22">
        <v>2.2599999999999998</v>
      </c>
      <c r="E13" s="22">
        <v>1.91</v>
      </c>
      <c r="F13" s="22">
        <v>1.74</v>
      </c>
      <c r="G13" s="22">
        <v>1.78</v>
      </c>
      <c r="H13" s="54"/>
      <c r="I13" s="57"/>
    </row>
    <row r="14" spans="1:9">
      <c r="A14" s="22">
        <v>84715010</v>
      </c>
      <c r="B14" s="22">
        <v>1</v>
      </c>
      <c r="C14" s="22" t="s">
        <v>23</v>
      </c>
      <c r="D14" s="22">
        <v>1.77</v>
      </c>
      <c r="E14" s="22">
        <v>1.91</v>
      </c>
      <c r="F14" s="22">
        <v>1.55</v>
      </c>
      <c r="G14" s="22">
        <v>1.78</v>
      </c>
      <c r="H14" s="54"/>
      <c r="I14" s="57"/>
    </row>
    <row r="15" spans="1:9">
      <c r="A15" s="32">
        <v>85447010</v>
      </c>
      <c r="B15" s="32">
        <v>1.32</v>
      </c>
      <c r="C15" s="32" t="s">
        <v>19</v>
      </c>
      <c r="D15" s="32">
        <v>1.54</v>
      </c>
      <c r="E15" s="32">
        <v>1.91</v>
      </c>
      <c r="F15" s="32">
        <v>1.73</v>
      </c>
      <c r="G15" s="32">
        <v>1.78</v>
      </c>
      <c r="H15" s="54"/>
      <c r="I15" s="57"/>
    </row>
    <row r="16" spans="1:9">
      <c r="A16" s="22">
        <v>94054900</v>
      </c>
      <c r="B16" s="22">
        <v>1.3116000000000001</v>
      </c>
      <c r="C16" s="22" t="s">
        <v>19</v>
      </c>
      <c r="D16" s="22">
        <v>1.54</v>
      </c>
      <c r="E16" s="22">
        <v>1.91</v>
      </c>
      <c r="F16" s="22">
        <v>1.73</v>
      </c>
      <c r="G16" s="22">
        <v>1.78</v>
      </c>
      <c r="H16" s="54"/>
      <c r="I16" s="57"/>
    </row>
    <row r="17" spans="1:9">
      <c r="A17" s="22">
        <v>84137010</v>
      </c>
      <c r="B17" s="22">
        <v>1</v>
      </c>
      <c r="C17" s="22" t="s">
        <v>19</v>
      </c>
      <c r="D17" s="22">
        <v>1.54</v>
      </c>
      <c r="E17" s="22">
        <v>1.91</v>
      </c>
      <c r="F17" s="22">
        <v>1.73</v>
      </c>
      <c r="G17" s="22">
        <v>1.78</v>
      </c>
      <c r="H17" s="54"/>
      <c r="I17" s="57"/>
    </row>
    <row r="18" spans="1:9">
      <c r="A18" s="22">
        <v>84717010</v>
      </c>
      <c r="B18" s="22">
        <v>1</v>
      </c>
      <c r="C18" s="22" t="s">
        <v>23</v>
      </c>
      <c r="D18" s="22">
        <v>1.77</v>
      </c>
      <c r="E18" s="22">
        <v>1.91</v>
      </c>
      <c r="F18" s="22">
        <v>1.55</v>
      </c>
      <c r="G18" s="22">
        <v>1.78</v>
      </c>
      <c r="H18" s="54"/>
      <c r="I18" s="57"/>
    </row>
    <row r="19" spans="1:9">
      <c r="A19" s="22">
        <v>85444900</v>
      </c>
      <c r="B19" s="22">
        <v>1.32</v>
      </c>
      <c r="C19" s="22" t="s">
        <v>19</v>
      </c>
      <c r="D19" s="22">
        <v>1.54</v>
      </c>
      <c r="E19" s="22">
        <v>1.91</v>
      </c>
      <c r="F19" s="22">
        <v>1.73</v>
      </c>
      <c r="G19" s="22">
        <v>1.78</v>
      </c>
      <c r="H19" s="54"/>
      <c r="I19" s="57"/>
    </row>
    <row r="20" spans="1:9">
      <c r="A20" s="22">
        <v>85258913</v>
      </c>
      <c r="B20" s="22">
        <v>1</v>
      </c>
      <c r="C20" s="22" t="s">
        <v>25</v>
      </c>
      <c r="D20" s="22">
        <v>2.2599999999999998</v>
      </c>
      <c r="E20" s="22">
        <v>1.91</v>
      </c>
      <c r="F20" s="22">
        <v>1.74</v>
      </c>
      <c r="G20" s="22">
        <v>1.78</v>
      </c>
      <c r="H20" s="54"/>
      <c r="I20" s="57"/>
    </row>
    <row r="21" spans="1:9">
      <c r="A21" s="22">
        <v>85181090</v>
      </c>
      <c r="B21" s="22">
        <v>1</v>
      </c>
      <c r="C21" s="22" t="s">
        <v>25</v>
      </c>
      <c r="D21" s="22">
        <v>2.2599999999999998</v>
      </c>
      <c r="E21" s="22">
        <v>1.91</v>
      </c>
      <c r="F21" s="22">
        <v>1.74</v>
      </c>
      <c r="G21" s="22">
        <v>1.78</v>
      </c>
      <c r="H21" s="54"/>
      <c r="I21" s="57"/>
    </row>
    <row r="22" spans="1:9">
      <c r="A22" s="22">
        <v>73121090</v>
      </c>
      <c r="B22" s="22">
        <v>1.3383</v>
      </c>
      <c r="C22" s="22" t="s">
        <v>19</v>
      </c>
      <c r="D22" s="22">
        <v>1.54</v>
      </c>
      <c r="E22" s="22">
        <v>1.91</v>
      </c>
      <c r="F22" s="22">
        <v>1.73</v>
      </c>
      <c r="G22" s="22">
        <v>1.78</v>
      </c>
      <c r="H22" s="54"/>
      <c r="I22" s="57"/>
    </row>
    <row r="23" spans="1:9">
      <c r="A23" s="22">
        <v>85362000</v>
      </c>
      <c r="B23" s="22">
        <v>1.3539000000000001</v>
      </c>
      <c r="C23" s="22" t="s">
        <v>35</v>
      </c>
      <c r="D23" s="22">
        <v>1.54</v>
      </c>
      <c r="E23" s="22">
        <v>1.91</v>
      </c>
      <c r="F23" s="22">
        <v>1.73</v>
      </c>
      <c r="G23" s="22">
        <v>1.78</v>
      </c>
      <c r="H23" s="54"/>
      <c r="I23" s="57"/>
    </row>
    <row r="24" spans="1:9">
      <c r="A24" s="22">
        <v>85442000</v>
      </c>
      <c r="B24" s="22">
        <v>1.32</v>
      </c>
      <c r="C24" s="22" t="s">
        <v>19</v>
      </c>
      <c r="D24" s="22">
        <v>1.54</v>
      </c>
      <c r="E24" s="22">
        <v>1.91</v>
      </c>
      <c r="F24" s="22">
        <v>1.73</v>
      </c>
      <c r="G24" s="22">
        <v>1.78</v>
      </c>
      <c r="H24" s="54"/>
      <c r="I24" s="57"/>
    </row>
    <row r="25" spans="1:9">
      <c r="A25" s="22">
        <v>85437019</v>
      </c>
      <c r="B25" s="22">
        <v>1.3303</v>
      </c>
      <c r="C25" s="22" t="s">
        <v>19</v>
      </c>
      <c r="D25" s="22">
        <v>1.54</v>
      </c>
      <c r="E25" s="22">
        <v>1.91</v>
      </c>
      <c r="F25" s="22">
        <v>1.73</v>
      </c>
      <c r="G25" s="22">
        <v>1.78</v>
      </c>
      <c r="H25" s="54"/>
      <c r="I25" s="57"/>
    </row>
    <row r="26" spans="1:9">
      <c r="A26" s="22">
        <v>39172100</v>
      </c>
      <c r="B26" s="22">
        <v>1.2787999999999999</v>
      </c>
      <c r="C26" s="22" t="s">
        <v>19</v>
      </c>
      <c r="D26" s="22">
        <v>1.54</v>
      </c>
      <c r="E26" s="22">
        <v>1.91</v>
      </c>
      <c r="F26" s="22">
        <v>1.73</v>
      </c>
      <c r="G26" s="22">
        <v>1.78</v>
      </c>
      <c r="H26" s="54"/>
      <c r="I26" s="57"/>
    </row>
    <row r="27" spans="1:9">
      <c r="A27" s="22">
        <v>73262000</v>
      </c>
      <c r="B27" s="22">
        <v>1.4317</v>
      </c>
      <c r="C27" s="22" t="s">
        <v>19</v>
      </c>
      <c r="D27" s="22">
        <v>1.54</v>
      </c>
      <c r="E27" s="22">
        <v>1.91</v>
      </c>
      <c r="F27" s="22">
        <v>1.73</v>
      </c>
      <c r="G27" s="22">
        <v>1.78</v>
      </c>
      <c r="H27" s="54"/>
      <c r="I27" s="57"/>
    </row>
    <row r="28" spans="1:9">
      <c r="A28" s="22">
        <v>85389090</v>
      </c>
      <c r="B28" s="22">
        <v>1.2869999999999999</v>
      </c>
      <c r="C28" s="22" t="s">
        <v>19</v>
      </c>
      <c r="D28" s="22">
        <v>1.54</v>
      </c>
      <c r="E28" s="22">
        <v>1.91</v>
      </c>
      <c r="F28" s="22">
        <v>1.73</v>
      </c>
      <c r="G28" s="22">
        <v>1.78</v>
      </c>
      <c r="H28" s="54"/>
      <c r="I28" s="57"/>
    </row>
    <row r="29" spans="1:9">
      <c r="A29" s="22">
        <v>85176255</v>
      </c>
      <c r="B29" s="22">
        <v>1</v>
      </c>
      <c r="C29" s="22" t="s">
        <v>23</v>
      </c>
      <c r="D29" s="22">
        <v>1.77</v>
      </c>
      <c r="E29" s="22">
        <v>1.91</v>
      </c>
      <c r="F29" s="22">
        <v>1.55</v>
      </c>
      <c r="G29" s="22">
        <v>1.78</v>
      </c>
      <c r="H29" s="54"/>
      <c r="I29" s="57"/>
    </row>
    <row r="30" spans="1:9">
      <c r="A30" s="22">
        <v>73181500</v>
      </c>
      <c r="B30" s="22">
        <v>1.3096000000000001</v>
      </c>
      <c r="C30" s="22" t="s">
        <v>19</v>
      </c>
      <c r="D30" s="22">
        <v>1.54</v>
      </c>
      <c r="E30" s="22">
        <v>1.91</v>
      </c>
      <c r="F30" s="22">
        <v>1.73</v>
      </c>
      <c r="G30" s="22">
        <v>1.78</v>
      </c>
      <c r="H30" s="54"/>
      <c r="I30" s="57"/>
    </row>
    <row r="31" spans="1:9">
      <c r="A31" s="22">
        <v>94054100</v>
      </c>
      <c r="B31" s="22">
        <v>1.2931999999999999</v>
      </c>
      <c r="C31" s="22" t="s">
        <v>19</v>
      </c>
      <c r="D31" s="22">
        <v>1.54</v>
      </c>
      <c r="E31" s="22">
        <v>1.91</v>
      </c>
      <c r="F31" s="22">
        <v>1.73</v>
      </c>
      <c r="G31" s="22">
        <v>1.78</v>
      </c>
      <c r="H31" s="54"/>
      <c r="I31" s="57"/>
    </row>
    <row r="32" spans="1:9">
      <c r="A32" s="22">
        <v>74130000</v>
      </c>
      <c r="B32" s="22">
        <v>1.3327</v>
      </c>
      <c r="C32" s="22" t="s">
        <v>19</v>
      </c>
      <c r="D32" s="22">
        <v>1.54</v>
      </c>
      <c r="E32" s="22">
        <v>1.91</v>
      </c>
      <c r="F32" s="22">
        <v>1.73</v>
      </c>
      <c r="G32" s="22">
        <v>1.78</v>
      </c>
      <c r="H32" s="54"/>
      <c r="I32" s="57"/>
    </row>
    <row r="33" spans="1:9">
      <c r="A33" s="22">
        <v>85363090</v>
      </c>
      <c r="B33" s="22">
        <v>1.3429</v>
      </c>
      <c r="C33" s="22" t="s">
        <v>19</v>
      </c>
      <c r="D33" s="22">
        <v>1.54</v>
      </c>
      <c r="E33" s="22">
        <v>1.91</v>
      </c>
      <c r="F33" s="22">
        <v>1.73</v>
      </c>
      <c r="G33" s="22">
        <v>1.78</v>
      </c>
      <c r="H33" s="54"/>
      <c r="I33" s="57"/>
    </row>
    <row r="34" spans="1:9">
      <c r="A34" s="58">
        <v>85444200</v>
      </c>
      <c r="B34" s="22">
        <v>1.3405</v>
      </c>
      <c r="C34" s="22" t="s">
        <v>19</v>
      </c>
      <c r="D34" s="22">
        <v>1.54</v>
      </c>
      <c r="E34" s="22">
        <v>1.91</v>
      </c>
      <c r="F34" s="22">
        <v>1.73</v>
      </c>
      <c r="G34" s="22">
        <v>1.78</v>
      </c>
      <c r="H34" s="54"/>
      <c r="I34" s="57"/>
    </row>
    <row r="35" spans="1:9">
      <c r="A35" s="2">
        <v>85258929</v>
      </c>
      <c r="B35" s="22">
        <v>1</v>
      </c>
      <c r="C35" s="22" t="s">
        <v>25</v>
      </c>
      <c r="D35" s="22">
        <v>2.2599999999999998</v>
      </c>
      <c r="E35" s="22">
        <v>1.91</v>
      </c>
      <c r="F35" s="22">
        <v>1.74</v>
      </c>
      <c r="G35" s="22">
        <v>1.78</v>
      </c>
      <c r="H35" s="54"/>
      <c r="I35" s="57"/>
    </row>
    <row r="36" spans="1:9">
      <c r="A36" s="53">
        <v>84241000</v>
      </c>
      <c r="B36" s="53">
        <v>1</v>
      </c>
      <c r="C36" s="53" t="s">
        <v>25</v>
      </c>
      <c r="D36" s="53">
        <v>2.2599999999999998</v>
      </c>
      <c r="E36" s="53">
        <v>1.91</v>
      </c>
      <c r="F36" s="53">
        <v>1.74</v>
      </c>
      <c r="G36" s="53">
        <v>1.78</v>
      </c>
      <c r="H36" s="54"/>
      <c r="I36" s="57"/>
    </row>
    <row r="37" spans="1:9">
      <c r="A37" s="53">
        <v>83100000</v>
      </c>
      <c r="B37" s="53">
        <v>1</v>
      </c>
      <c r="C37" s="53" t="s">
        <v>25</v>
      </c>
      <c r="D37" s="53">
        <v>2.2599999999999998</v>
      </c>
      <c r="E37" s="53">
        <v>1.91</v>
      </c>
      <c r="F37" s="53">
        <v>1.74</v>
      </c>
      <c r="G37" s="53">
        <v>1.78</v>
      </c>
      <c r="H37" s="54"/>
      <c r="I37" s="57"/>
    </row>
    <row r="38" spans="1:9">
      <c r="A38" s="22">
        <v>85312000</v>
      </c>
      <c r="B38" s="22">
        <v>1.3724000000000001</v>
      </c>
      <c r="C38" s="22" t="s">
        <v>19</v>
      </c>
      <c r="D38" s="22">
        <v>1.54</v>
      </c>
      <c r="E38" s="22">
        <v>1.91</v>
      </c>
      <c r="F38" s="22">
        <v>1.73</v>
      </c>
      <c r="G38" s="22">
        <v>1.78</v>
      </c>
      <c r="H38" s="54"/>
      <c r="I38" s="57"/>
    </row>
    <row r="39" spans="1:9">
      <c r="A39" s="22">
        <v>85369090</v>
      </c>
      <c r="B39" s="22">
        <v>1.3429</v>
      </c>
      <c r="C39" s="22" t="s">
        <v>19</v>
      </c>
      <c r="D39" s="22">
        <v>1.54</v>
      </c>
      <c r="E39" s="22">
        <v>1.91</v>
      </c>
      <c r="F39" s="22">
        <v>1.73</v>
      </c>
      <c r="G39" s="22">
        <v>1.78</v>
      </c>
      <c r="H39" s="54"/>
      <c r="I39" s="57"/>
    </row>
    <row r="40" spans="1:9">
      <c r="A40" s="22">
        <v>85318000</v>
      </c>
      <c r="B40" s="22">
        <v>1.54</v>
      </c>
      <c r="C40" s="22" t="s">
        <v>19</v>
      </c>
      <c r="D40" s="22">
        <v>1.54</v>
      </c>
      <c r="E40" s="22">
        <v>1.91</v>
      </c>
      <c r="F40" s="22">
        <v>1.73</v>
      </c>
      <c r="G40" s="22">
        <v>1.78</v>
      </c>
      <c r="H40" s="54"/>
      <c r="I40" s="57"/>
    </row>
    <row r="41" spans="1:9">
      <c r="A41" s="22">
        <v>84729099</v>
      </c>
      <c r="B41" s="22">
        <v>1</v>
      </c>
      <c r="C41" s="22" t="s">
        <v>25</v>
      </c>
      <c r="D41" s="22">
        <v>2.2599999999999998</v>
      </c>
      <c r="E41" s="22">
        <v>1.91</v>
      </c>
      <c r="F41" s="22">
        <v>1.74</v>
      </c>
      <c r="G41" s="22">
        <v>1.78</v>
      </c>
      <c r="H41" s="54"/>
      <c r="I41" s="57"/>
    </row>
    <row r="42" spans="1:9">
      <c r="A42" s="22">
        <v>96121000</v>
      </c>
      <c r="B42" s="22">
        <v>1</v>
      </c>
      <c r="C42" s="22" t="s">
        <v>25</v>
      </c>
      <c r="D42" s="22">
        <v>2.2599999999999998</v>
      </c>
      <c r="E42" s="22">
        <v>1.91</v>
      </c>
      <c r="F42" s="22">
        <v>1.74</v>
      </c>
      <c r="G42" s="22">
        <v>1.78</v>
      </c>
      <c r="H42" s="54"/>
      <c r="I42" s="57"/>
    </row>
    <row r="43" spans="1:9">
      <c r="A43" s="22">
        <v>94032090</v>
      </c>
      <c r="B43" s="22">
        <v>1</v>
      </c>
      <c r="C43" s="22" t="s">
        <v>25</v>
      </c>
      <c r="D43" s="22">
        <v>2.2599999999999998</v>
      </c>
      <c r="E43" s="22">
        <v>1.91</v>
      </c>
      <c r="F43" s="22">
        <v>1.74</v>
      </c>
      <c r="G43" s="22">
        <v>1.78</v>
      </c>
      <c r="H43" s="54"/>
      <c r="I43" s="57"/>
    </row>
    <row r="44" spans="1:9">
      <c r="A44" s="22">
        <v>94059900</v>
      </c>
      <c r="B44" s="22">
        <v>1.3763000000000001</v>
      </c>
      <c r="C44" s="22" t="s">
        <v>19</v>
      </c>
      <c r="D44" s="22">
        <v>1.54</v>
      </c>
      <c r="E44" s="22">
        <v>1.91</v>
      </c>
      <c r="F44" s="22">
        <v>1.73</v>
      </c>
      <c r="G44" s="22">
        <v>1.78</v>
      </c>
      <c r="H44" s="54">
        <v>0.04</v>
      </c>
      <c r="I44" s="57">
        <v>0.83550000000000002</v>
      </c>
    </row>
    <row r="45" spans="1:9">
      <c r="A45" s="2">
        <v>85065010</v>
      </c>
      <c r="B45" s="22">
        <v>1</v>
      </c>
      <c r="C45" s="22" t="s">
        <v>25</v>
      </c>
      <c r="D45" s="22">
        <v>2.2599999999999998</v>
      </c>
      <c r="E45" s="22">
        <v>1.91</v>
      </c>
      <c r="F45" s="22">
        <v>1.74</v>
      </c>
      <c r="G45" s="22">
        <v>1.78</v>
      </c>
      <c r="H45" s="54"/>
      <c r="I45" s="57"/>
    </row>
    <row r="46" spans="1:9">
      <c r="A46" s="22">
        <v>85044050</v>
      </c>
      <c r="B46" s="22">
        <v>1.3075000000000001</v>
      </c>
      <c r="C46" s="22" t="s">
        <v>19</v>
      </c>
      <c r="D46" s="22">
        <v>1.54</v>
      </c>
      <c r="E46" s="22">
        <v>1.91</v>
      </c>
      <c r="F46" s="22">
        <v>1.73</v>
      </c>
      <c r="G46" s="22">
        <v>1.78</v>
      </c>
      <c r="H46" s="54"/>
      <c r="I46" s="57"/>
    </row>
    <row r="47" spans="1:9">
      <c r="A47" s="2">
        <v>85182100</v>
      </c>
      <c r="B47" s="22">
        <v>1</v>
      </c>
      <c r="C47" s="22" t="s">
        <v>25</v>
      </c>
      <c r="D47" s="22">
        <v>2.2599999999999998</v>
      </c>
      <c r="E47" s="22">
        <v>1.91</v>
      </c>
      <c r="F47" s="22">
        <v>1.74</v>
      </c>
      <c r="G47" s="22">
        <v>1.78</v>
      </c>
      <c r="H47" s="54"/>
      <c r="I47" s="57"/>
    </row>
    <row r="48" spans="1:9">
      <c r="A48" s="22">
        <v>90304090</v>
      </c>
      <c r="B48" s="22">
        <v>1</v>
      </c>
      <c r="C48" s="22" t="s">
        <v>25</v>
      </c>
      <c r="D48" s="22">
        <v>2.2599999999999998</v>
      </c>
      <c r="E48" s="22">
        <v>1.91</v>
      </c>
      <c r="F48" s="22">
        <v>1.74</v>
      </c>
      <c r="G48" s="22">
        <v>1.78</v>
      </c>
      <c r="H48" s="54"/>
      <c r="I48" s="57"/>
    </row>
    <row r="49" spans="1:9">
      <c r="A49" s="22">
        <v>84798999</v>
      </c>
      <c r="B49" s="22">
        <v>1</v>
      </c>
      <c r="C49" s="22" t="s">
        <v>25</v>
      </c>
      <c r="D49" s="22">
        <v>2.2599999999999998</v>
      </c>
      <c r="E49" s="22">
        <v>1.91</v>
      </c>
      <c r="F49" s="22">
        <v>1.74</v>
      </c>
      <c r="G49" s="22">
        <v>1.78</v>
      </c>
      <c r="H49" s="54"/>
      <c r="I49" s="57"/>
    </row>
    <row r="50" spans="1:9">
      <c r="A50" s="22">
        <v>83014000</v>
      </c>
      <c r="B50" s="22">
        <v>1.3157000000000001</v>
      </c>
      <c r="C50" s="22" t="s">
        <v>19</v>
      </c>
      <c r="D50" s="22">
        <v>1.54</v>
      </c>
      <c r="E50" s="22">
        <v>1.91</v>
      </c>
      <c r="F50" s="22">
        <v>1.73</v>
      </c>
      <c r="G50" s="22">
        <v>1.78</v>
      </c>
      <c r="H50" s="54"/>
      <c r="I50" s="57"/>
    </row>
    <row r="51" spans="1:9">
      <c r="A51" s="22">
        <v>73063000</v>
      </c>
      <c r="B51" s="22">
        <v>1</v>
      </c>
      <c r="C51" s="22" t="s">
        <v>25</v>
      </c>
      <c r="D51" s="22">
        <v>2.2599999999999998</v>
      </c>
      <c r="E51" s="22">
        <v>1.91</v>
      </c>
      <c r="F51" s="22">
        <v>1.74</v>
      </c>
      <c r="G51" s="22">
        <v>1.78</v>
      </c>
      <c r="H51" s="54"/>
      <c r="I51" s="57"/>
    </row>
    <row r="52" spans="1:9">
      <c r="A52" s="22">
        <v>85437099</v>
      </c>
      <c r="B52" s="22">
        <v>1</v>
      </c>
      <c r="C52" s="22" t="s">
        <v>25</v>
      </c>
      <c r="D52" s="22">
        <v>2.2599999999999998</v>
      </c>
      <c r="E52" s="22">
        <v>1.91</v>
      </c>
      <c r="F52" s="22">
        <v>1.74</v>
      </c>
      <c r="G52" s="22">
        <v>1.78</v>
      </c>
      <c r="H52" s="54"/>
      <c r="I52" s="57"/>
    </row>
    <row r="53" spans="1:9">
      <c r="A53" s="22">
        <v>85369040</v>
      </c>
      <c r="B53" s="22">
        <v>1.2931999999999999</v>
      </c>
      <c r="C53" s="22" t="s">
        <v>19</v>
      </c>
      <c r="D53" s="22">
        <v>1.54</v>
      </c>
      <c r="E53" s="22">
        <v>1.91</v>
      </c>
      <c r="F53" s="22">
        <v>1.73</v>
      </c>
      <c r="G53" s="22">
        <v>1.78</v>
      </c>
      <c r="H53" s="54"/>
      <c r="I53" s="57"/>
    </row>
    <row r="54" spans="1:9">
      <c r="A54" s="22">
        <v>85043111</v>
      </c>
      <c r="B54" s="22">
        <v>1</v>
      </c>
      <c r="C54" s="22" t="s">
        <v>25</v>
      </c>
      <c r="D54" s="22">
        <v>2.2599999999999998</v>
      </c>
      <c r="E54" s="22">
        <v>1.91</v>
      </c>
      <c r="F54" s="22">
        <v>1.74</v>
      </c>
      <c r="G54" s="22">
        <v>1.78</v>
      </c>
      <c r="H54" s="54"/>
      <c r="I54" s="57"/>
    </row>
    <row r="55" spans="1:9">
      <c r="A55" s="22">
        <v>85311010</v>
      </c>
      <c r="B55" s="22">
        <v>1.4046000000000001</v>
      </c>
      <c r="C55" s="22" t="s">
        <v>19</v>
      </c>
      <c r="D55" s="22">
        <v>1.54</v>
      </c>
      <c r="E55" s="22">
        <v>1.91</v>
      </c>
      <c r="F55" s="22">
        <v>1.73</v>
      </c>
      <c r="G55" s="22">
        <v>1.78</v>
      </c>
      <c r="H55" s="54"/>
      <c r="I55" s="57"/>
    </row>
    <row r="56" spans="1:9">
      <c r="A56" s="22">
        <v>90271000</v>
      </c>
      <c r="B56" s="22">
        <v>1</v>
      </c>
      <c r="C56" s="22" t="s">
        <v>25</v>
      </c>
      <c r="D56" s="22">
        <v>2.2599999999999998</v>
      </c>
      <c r="E56" s="22">
        <v>1.91</v>
      </c>
      <c r="F56" s="22">
        <v>1.74</v>
      </c>
      <c r="G56" s="22">
        <v>1.78</v>
      </c>
      <c r="H56" s="54"/>
      <c r="I56" s="57"/>
    </row>
    <row r="57" spans="1:9">
      <c r="A57" s="22">
        <v>85176241</v>
      </c>
      <c r="B57" s="22">
        <v>1</v>
      </c>
      <c r="C57" s="22" t="s">
        <v>52</v>
      </c>
      <c r="D57" s="22">
        <v>1.77</v>
      </c>
      <c r="E57" s="22">
        <v>2.23</v>
      </c>
      <c r="F57" s="22">
        <v>1.54</v>
      </c>
      <c r="G57" s="22">
        <v>1.76</v>
      </c>
      <c r="H57" s="54"/>
      <c r="I57" s="57"/>
    </row>
    <row r="58" spans="1:9">
      <c r="A58" s="2">
        <v>85182200</v>
      </c>
      <c r="B58" s="22">
        <v>1</v>
      </c>
      <c r="C58" s="22" t="s">
        <v>25</v>
      </c>
      <c r="D58" s="22">
        <v>2.2599999999999998</v>
      </c>
      <c r="E58" s="22">
        <v>1.91</v>
      </c>
      <c r="F58" s="22">
        <v>1.74</v>
      </c>
      <c r="G58" s="22">
        <v>1.78</v>
      </c>
      <c r="H58" s="54"/>
      <c r="I58" s="57"/>
    </row>
    <row r="59" spans="1:9">
      <c r="A59" s="22"/>
      <c r="B59" s="22"/>
      <c r="C59" s="22"/>
      <c r="D59" s="22"/>
      <c r="E59" s="22"/>
      <c r="F59" s="22"/>
      <c r="G59" s="22"/>
      <c r="H59" s="54"/>
      <c r="I59" s="57"/>
    </row>
    <row r="60" spans="1:9">
      <c r="A60" s="22"/>
      <c r="B60" s="22"/>
      <c r="C60" s="22"/>
      <c r="D60" s="22"/>
      <c r="E60" s="22"/>
      <c r="F60" s="22"/>
      <c r="G60" s="22"/>
      <c r="H60" s="54"/>
      <c r="I60" s="57"/>
    </row>
    <row r="61" spans="1:9">
      <c r="A61" s="22"/>
      <c r="B61" s="22"/>
      <c r="C61" s="22"/>
      <c r="D61" s="22"/>
      <c r="E61" s="22"/>
      <c r="F61" s="22"/>
      <c r="G61" s="22"/>
      <c r="H61" s="54"/>
      <c r="I61" s="57"/>
    </row>
    <row r="62" spans="1:9">
      <c r="A62" s="22"/>
      <c r="B62" s="22"/>
      <c r="C62" s="22"/>
      <c r="D62" s="22"/>
      <c r="E62" s="22"/>
      <c r="F62" s="22"/>
      <c r="G62" s="22"/>
      <c r="H62" s="54"/>
      <c r="I62" s="57"/>
    </row>
    <row r="63" spans="1:9">
      <c r="A63" s="22"/>
      <c r="B63" s="22"/>
      <c r="C63" s="22"/>
      <c r="D63" s="22"/>
      <c r="E63" s="22"/>
      <c r="F63" s="22"/>
      <c r="G63" s="22"/>
      <c r="H63" s="54"/>
      <c r="I63" s="57"/>
    </row>
    <row r="64" spans="1:9">
      <c r="A64" s="22"/>
      <c r="B64" s="22"/>
      <c r="C64" s="22"/>
      <c r="D64" s="22"/>
      <c r="E64" s="22"/>
      <c r="F64" s="22"/>
      <c r="G64" s="22"/>
      <c r="H64" s="54"/>
      <c r="I64" s="57"/>
    </row>
    <row r="65" spans="1:9">
      <c r="A65" s="22"/>
      <c r="B65" s="22"/>
      <c r="C65" s="22"/>
      <c r="D65" s="22"/>
      <c r="E65" s="22"/>
      <c r="F65" s="22"/>
      <c r="G65" s="22"/>
      <c r="H65" s="54"/>
      <c r="I65" s="57"/>
    </row>
    <row r="66" spans="1:9">
      <c r="A66" s="22"/>
      <c r="B66" s="22"/>
      <c r="C66" s="22"/>
      <c r="D66" s="22"/>
      <c r="E66" s="22"/>
      <c r="F66" s="22"/>
      <c r="G66" s="22"/>
      <c r="H66" s="54"/>
      <c r="I66" s="57"/>
    </row>
    <row r="67" spans="1:9">
      <c r="A67" s="22"/>
      <c r="B67" s="22"/>
      <c r="C67" s="22"/>
      <c r="D67" s="22"/>
      <c r="E67" s="22"/>
      <c r="F67" s="22"/>
      <c r="G67" s="22"/>
      <c r="H67" s="54"/>
      <c r="I67" s="57"/>
    </row>
    <row r="68" spans="1:9">
      <c r="A68" s="22"/>
      <c r="B68" s="22"/>
      <c r="C68" s="22"/>
      <c r="D68" s="22"/>
      <c r="E68" s="22"/>
      <c r="F68" s="22"/>
      <c r="G68" s="22"/>
      <c r="H68" s="54"/>
      <c r="I68" s="57"/>
    </row>
    <row r="69" spans="1:9">
      <c r="A69" s="22"/>
      <c r="B69" s="22"/>
      <c r="C69" s="22"/>
      <c r="D69" s="22"/>
      <c r="E69" s="22"/>
      <c r="F69" s="22"/>
      <c r="G69" s="22"/>
      <c r="H69" s="54"/>
      <c r="I69" s="57"/>
    </row>
    <row r="70" spans="1:9">
      <c r="A70" s="22"/>
      <c r="B70" s="22"/>
      <c r="C70" s="22"/>
      <c r="D70" s="22"/>
      <c r="E70" s="22"/>
      <c r="F70" s="22"/>
      <c r="G70" s="22"/>
      <c r="H70" s="54"/>
      <c r="I70" s="57"/>
    </row>
    <row r="71" spans="1:9">
      <c r="A71" s="22"/>
      <c r="B71" s="22"/>
      <c r="C71" s="22"/>
      <c r="D71" s="22"/>
      <c r="E71" s="22"/>
      <c r="F71" s="22"/>
      <c r="G71" s="22"/>
      <c r="H71" s="54"/>
      <c r="I71" s="57"/>
    </row>
    <row r="72" spans="1:9">
      <c r="A72" s="22"/>
      <c r="B72" s="22"/>
      <c r="C72" s="22"/>
      <c r="D72" s="22"/>
      <c r="E72" s="22"/>
      <c r="F72" s="22"/>
      <c r="G72" s="22"/>
      <c r="H72" s="54"/>
      <c r="I72" s="57"/>
    </row>
    <row r="73" spans="1:9">
      <c r="A73" s="22"/>
      <c r="B73" s="22"/>
      <c r="C73" s="22"/>
      <c r="D73" s="22"/>
      <c r="E73" s="22"/>
      <c r="F73" s="22"/>
      <c r="G73" s="22"/>
      <c r="H73" s="54"/>
      <c r="I73" s="57"/>
    </row>
    <row r="74" spans="1:9">
      <c r="A74" s="22"/>
      <c r="B74" s="22"/>
      <c r="C74" s="22"/>
      <c r="D74" s="22"/>
      <c r="E74" s="22"/>
      <c r="F74" s="22"/>
      <c r="G74" s="22"/>
      <c r="H74" s="54"/>
      <c r="I74" s="57"/>
    </row>
    <row r="75" spans="1:9">
      <c r="A75" s="22"/>
      <c r="B75" s="22"/>
      <c r="C75" s="22"/>
      <c r="D75" s="22"/>
      <c r="E75" s="22"/>
      <c r="F75" s="22"/>
      <c r="G75" s="22"/>
      <c r="H75" s="54"/>
      <c r="I75" s="57"/>
    </row>
    <row r="76" spans="1:9">
      <c r="A76" s="22"/>
      <c r="B76" s="22"/>
      <c r="C76" s="22"/>
      <c r="D76" s="22"/>
      <c r="E76" s="22"/>
      <c r="F76" s="22"/>
      <c r="G76" s="22"/>
      <c r="H76" s="54"/>
      <c r="I76" s="57"/>
    </row>
    <row r="77" spans="1:9">
      <c r="A77" s="22"/>
      <c r="B77" s="22"/>
      <c r="C77" s="22"/>
      <c r="D77" s="22"/>
      <c r="E77" s="22"/>
      <c r="F77" s="22"/>
      <c r="G77" s="22"/>
      <c r="H77" s="54"/>
      <c r="I77" s="57"/>
    </row>
    <row r="78" spans="1:9">
      <c r="A78" s="22"/>
      <c r="B78" s="22"/>
      <c r="C78" s="22"/>
      <c r="D78" s="22"/>
      <c r="E78" s="22"/>
      <c r="F78" s="22"/>
      <c r="G78" s="22"/>
      <c r="H78" s="54"/>
      <c r="I78" s="57"/>
    </row>
    <row r="79" spans="1:9">
      <c r="A79" s="22"/>
      <c r="B79" s="22"/>
      <c r="C79" s="22"/>
      <c r="D79" s="22"/>
      <c r="E79" s="22"/>
      <c r="F79" s="22"/>
      <c r="G79" s="22"/>
      <c r="H79" s="54"/>
      <c r="I79" s="57"/>
    </row>
    <row r="80" spans="1:9">
      <c r="A80" s="22"/>
      <c r="B80" s="22"/>
      <c r="C80" s="22"/>
      <c r="D80" s="22"/>
      <c r="E80" s="22"/>
      <c r="F80" s="22"/>
      <c r="G80" s="22"/>
      <c r="H80" s="54"/>
      <c r="I80" s="57"/>
    </row>
    <row r="81" spans="1:9">
      <c r="A81" s="22"/>
      <c r="B81" s="22"/>
      <c r="C81" s="22"/>
      <c r="D81" s="22"/>
      <c r="E81" s="22"/>
      <c r="F81" s="22"/>
      <c r="G81" s="22"/>
      <c r="H81" s="54"/>
      <c r="I81" s="57"/>
    </row>
    <row r="82" spans="1:9">
      <c r="A82" s="22"/>
      <c r="B82" s="22"/>
      <c r="C82" s="22"/>
      <c r="D82" s="22"/>
      <c r="E82" s="22"/>
      <c r="F82" s="22"/>
      <c r="G82" s="22"/>
      <c r="H82" s="54"/>
      <c r="I82" s="57"/>
    </row>
    <row r="83" spans="1:9">
      <c r="A83" s="22"/>
      <c r="B83" s="22"/>
      <c r="C83" s="22"/>
      <c r="D83" s="22"/>
      <c r="E83" s="22"/>
      <c r="F83" s="22"/>
      <c r="G83" s="22"/>
      <c r="H83" s="54"/>
      <c r="I83" s="57"/>
    </row>
    <row r="84" spans="1:9">
      <c r="A84" s="22"/>
      <c r="B84" s="22"/>
      <c r="C84" s="22"/>
      <c r="D84" s="22"/>
      <c r="E84" s="22"/>
      <c r="F84" s="22"/>
      <c r="G84" s="22"/>
      <c r="H84" s="54"/>
      <c r="I84" s="57"/>
    </row>
    <row r="85" spans="1:9">
      <c r="A85" s="22"/>
      <c r="B85" s="22"/>
      <c r="C85" s="22"/>
      <c r="D85" s="22"/>
      <c r="E85" s="22"/>
      <c r="F85" s="22"/>
      <c r="G85" s="22"/>
      <c r="H85" s="54"/>
      <c r="I85" s="57"/>
    </row>
    <row r="86" spans="1:9">
      <c r="A86" s="22"/>
      <c r="B86" s="22"/>
      <c r="C86" s="22"/>
      <c r="D86" s="22"/>
      <c r="E86" s="22"/>
      <c r="F86" s="22"/>
      <c r="G86" s="22"/>
      <c r="H86" s="54"/>
      <c r="I86" s="57"/>
    </row>
    <row r="87" spans="1:9">
      <c r="A87" s="22"/>
      <c r="B87" s="22"/>
      <c r="C87" s="22"/>
      <c r="D87" s="22"/>
      <c r="E87" s="22"/>
      <c r="F87" s="22"/>
      <c r="G87" s="22"/>
      <c r="H87" s="54"/>
      <c r="I87" s="57"/>
    </row>
    <row r="88" spans="1:9">
      <c r="A88" s="22"/>
      <c r="B88" s="22"/>
      <c r="C88" s="22"/>
      <c r="D88" s="22"/>
      <c r="E88" s="22"/>
      <c r="F88" s="22"/>
      <c r="G88" s="22"/>
      <c r="H88" s="54"/>
      <c r="I88" s="57"/>
    </row>
    <row r="89" spans="1:9">
      <c r="A89" s="22"/>
      <c r="B89" s="22"/>
      <c r="C89" s="22"/>
      <c r="D89" s="22"/>
      <c r="E89" s="22"/>
      <c r="F89" s="22"/>
      <c r="G89" s="22"/>
      <c r="H89" s="54"/>
      <c r="I89" s="57"/>
    </row>
    <row r="90" spans="1:9">
      <c r="A90" s="22"/>
      <c r="B90" s="22"/>
      <c r="C90" s="22"/>
      <c r="D90" s="22"/>
      <c r="E90" s="22"/>
      <c r="F90" s="22"/>
      <c r="G90" s="22"/>
      <c r="H90" s="54"/>
      <c r="I90" s="57"/>
    </row>
    <row r="91" spans="1:9">
      <c r="A91" s="22"/>
      <c r="B91" s="22"/>
      <c r="C91" s="22"/>
      <c r="D91" s="22"/>
      <c r="E91" s="22"/>
      <c r="F91" s="22"/>
      <c r="G91" s="22"/>
      <c r="H91" s="54"/>
      <c r="I91" s="57"/>
    </row>
    <row r="92" spans="1:9">
      <c r="A92" s="22"/>
      <c r="B92" s="22"/>
      <c r="C92" s="22"/>
      <c r="D92" s="22"/>
      <c r="E92" s="22"/>
      <c r="F92" s="22"/>
      <c r="G92" s="22"/>
      <c r="H92" s="54"/>
      <c r="I92" s="57"/>
    </row>
    <row r="93" spans="1:9">
      <c r="A93" s="22"/>
      <c r="B93" s="22"/>
      <c r="C93" s="22"/>
      <c r="D93" s="22"/>
      <c r="E93" s="22"/>
      <c r="F93" s="22"/>
      <c r="G93" s="22"/>
      <c r="H93" s="54"/>
      <c r="I93" s="57"/>
    </row>
    <row r="94" spans="1:9">
      <c r="A94" s="22"/>
      <c r="B94" s="22"/>
      <c r="C94" s="22"/>
      <c r="D94" s="22"/>
      <c r="E94" s="22"/>
      <c r="F94" s="22"/>
      <c r="G94" s="22"/>
      <c r="H94" s="54"/>
      <c r="I94" s="57"/>
    </row>
    <row r="95" spans="1:9">
      <c r="A95" s="22"/>
      <c r="B95" s="22"/>
      <c r="C95" s="22"/>
      <c r="D95" s="22"/>
      <c r="E95" s="22"/>
      <c r="F95" s="22"/>
      <c r="G95" s="22"/>
      <c r="H95" s="54"/>
      <c r="I95" s="57"/>
    </row>
    <row r="96" spans="1:9">
      <c r="A96" s="22"/>
      <c r="B96" s="22"/>
      <c r="C96" s="22"/>
      <c r="D96" s="22"/>
      <c r="E96" s="22"/>
      <c r="F96" s="22"/>
      <c r="G96" s="22"/>
      <c r="H96" s="54"/>
      <c r="I96" s="57"/>
    </row>
    <row r="97" spans="1:9">
      <c r="A97" s="22"/>
      <c r="B97" s="22"/>
      <c r="C97" s="22"/>
      <c r="D97" s="22"/>
      <c r="E97" s="22"/>
      <c r="F97" s="22"/>
      <c r="G97" s="22"/>
      <c r="H97" s="54"/>
      <c r="I97" s="57"/>
    </row>
    <row r="98" spans="1:9">
      <c r="A98" s="22"/>
      <c r="B98" s="22"/>
      <c r="C98" s="22"/>
      <c r="D98" s="22"/>
      <c r="E98" s="22"/>
      <c r="F98" s="22"/>
      <c r="G98" s="22"/>
      <c r="H98" s="54"/>
      <c r="I98" s="57"/>
    </row>
  </sheetData>
  <autoFilter ref="A1:I57" xr:uid="{00000000-0001-0000-0100-000000000000}"/>
  <conditionalFormatting sqref="A1:A41 A43:A1048576">
    <cfRule type="duplicateValues" dxfId="3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H19" sqref="H19:H26"/>
    </sheetView>
  </sheetViews>
  <sheetFormatPr defaultRowHeight="14.4"/>
  <cols>
    <col min="1" max="1" width="19.33203125" customWidth="1"/>
    <col min="2" max="2" width="15.5546875" customWidth="1"/>
  </cols>
  <sheetData>
    <row r="1" spans="1:2">
      <c r="A1" s="21" t="s">
        <v>1</v>
      </c>
      <c r="B1" s="21" t="s">
        <v>17</v>
      </c>
    </row>
    <row r="2" spans="1:2">
      <c r="A2" s="22">
        <v>84715010</v>
      </c>
      <c r="B2" s="30">
        <v>4.4999999999999998E-2</v>
      </c>
    </row>
    <row r="3" spans="1:2">
      <c r="A3" s="22">
        <v>85444200</v>
      </c>
      <c r="B3" s="30">
        <v>4.4999999999999998E-2</v>
      </c>
    </row>
    <row r="4" spans="1:2">
      <c r="A4" s="22"/>
      <c r="B4" s="22"/>
    </row>
    <row r="5" spans="1:2">
      <c r="A5" s="22"/>
      <c r="B5" s="22"/>
    </row>
    <row r="6" spans="1:2">
      <c r="A6" s="22"/>
      <c r="B6" s="22"/>
    </row>
    <row r="7" spans="1:2">
      <c r="A7" s="22"/>
      <c r="B7" s="22"/>
    </row>
    <row r="8" spans="1:2">
      <c r="A8" s="22"/>
      <c r="B8" s="22"/>
    </row>
    <row r="9" spans="1:2">
      <c r="A9" s="22"/>
      <c r="B9" s="22"/>
    </row>
    <row r="10" spans="1:2">
      <c r="A10" s="22"/>
      <c r="B10" s="22"/>
    </row>
    <row r="11" spans="1:2">
      <c r="A11" s="22"/>
      <c r="B11" s="22"/>
    </row>
    <row r="12" spans="1:2">
      <c r="A12" s="22"/>
      <c r="B12" s="22"/>
    </row>
    <row r="13" spans="1:2">
      <c r="A13" s="22"/>
      <c r="B13" s="22"/>
    </row>
    <row r="14" spans="1:2">
      <c r="A14" s="22"/>
      <c r="B14" s="22"/>
    </row>
    <row r="15" spans="1:2">
      <c r="A15" s="22"/>
      <c r="B15" s="22"/>
    </row>
    <row r="16" spans="1:2">
      <c r="A16" s="22"/>
      <c r="B16" s="22"/>
    </row>
    <row r="17" spans="1:2">
      <c r="A17" s="22"/>
      <c r="B17" s="22"/>
    </row>
  </sheetData>
  <conditionalFormatting sqref="A1:A17">
    <cfRule type="duplicateValues" dxfId="2" priority="9"/>
    <cfRule type="duplicateValues" dxfId="1" priority="10"/>
    <cfRule type="duplicateValues" dxfId="0" priority="1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</vt:lpstr>
      <vt:lpstr>Base Dados NCM</vt:lpstr>
      <vt:lpstr>Base ST 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Almeida</dc:creator>
  <cp:lastModifiedBy>Cristiana Almeida</cp:lastModifiedBy>
  <dcterms:created xsi:type="dcterms:W3CDTF">2026-01-21T14:34:25Z</dcterms:created>
  <dcterms:modified xsi:type="dcterms:W3CDTF">2026-04-06T15:44:28Z</dcterms:modified>
</cp:coreProperties>
</file>